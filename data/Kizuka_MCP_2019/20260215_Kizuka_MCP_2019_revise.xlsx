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im/Downloads/"/>
    </mc:Choice>
  </mc:AlternateContent>
  <xr:revisionPtr revIDLastSave="0" documentId="13_ncr:1_{DEEA67EC-0340-D64E-B088-77CD100DF929}" xr6:coauthVersionLast="47" xr6:coauthVersionMax="47" xr10:uidLastSave="{00000000-0000-0000-0000-000000000000}"/>
  <bookViews>
    <workbookView xWindow="16040" yWindow="4360" windowWidth="47720" windowHeight="32180" xr2:uid="{E956526B-6D6B-BE4E-86F5-5F42EE81748B}"/>
  </bookViews>
  <sheets>
    <sheet name="anno" sheetId="3" r:id="rId1"/>
    <sheet name="quant" sheetId="5" r:id="rId2"/>
    <sheet name="データベース優先" sheetId="1" r:id="rId3"/>
    <sheet name="Suppl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3" l="1"/>
  <c r="J53" i="3"/>
  <c r="I53" i="3"/>
  <c r="H53" i="3"/>
  <c r="K81" i="3"/>
  <c r="J81" i="3"/>
  <c r="I81" i="3"/>
  <c r="H81" i="3"/>
  <c r="K79" i="3"/>
  <c r="J79" i="3"/>
  <c r="I79" i="3"/>
  <c r="H79" i="3"/>
  <c r="K116" i="3"/>
  <c r="J116" i="3"/>
  <c r="I116" i="3"/>
  <c r="H116" i="3"/>
  <c r="K115" i="3"/>
  <c r="J115" i="3"/>
  <c r="I115" i="3"/>
  <c r="H115" i="3"/>
  <c r="K112" i="3"/>
  <c r="J112" i="3"/>
  <c r="I112" i="3"/>
  <c r="H112" i="3"/>
  <c r="K111" i="3"/>
  <c r="J111" i="3"/>
  <c r="I111" i="3"/>
  <c r="H111" i="3"/>
  <c r="K110" i="3"/>
  <c r="J110" i="3"/>
  <c r="I110" i="3"/>
  <c r="H110" i="3"/>
  <c r="K104" i="3"/>
  <c r="J104" i="3"/>
  <c r="I104" i="3"/>
  <c r="H104" i="3"/>
  <c r="K99" i="3"/>
  <c r="J99" i="3"/>
  <c r="I99" i="3"/>
  <c r="H99" i="3"/>
  <c r="K98" i="3"/>
  <c r="J98" i="3"/>
  <c r="I98" i="3"/>
  <c r="H98" i="3"/>
  <c r="K96" i="3"/>
  <c r="J96" i="3"/>
  <c r="I96" i="3"/>
  <c r="H96" i="3"/>
  <c r="K95" i="3"/>
  <c r="J95" i="3"/>
  <c r="I95" i="3"/>
  <c r="H95" i="3"/>
  <c r="K94" i="3"/>
  <c r="J94" i="3"/>
  <c r="I94" i="3"/>
  <c r="H94" i="3"/>
  <c r="K91" i="3"/>
  <c r="J91" i="3"/>
  <c r="I91" i="3"/>
  <c r="H91" i="3"/>
  <c r="K90" i="3"/>
  <c r="J90" i="3"/>
  <c r="I90" i="3"/>
  <c r="H90" i="3"/>
  <c r="K87" i="3"/>
  <c r="J87" i="3"/>
  <c r="I87" i="3"/>
  <c r="H87" i="3"/>
  <c r="K86" i="3"/>
  <c r="J86" i="3"/>
  <c r="I86" i="3"/>
  <c r="H86" i="3"/>
  <c r="K85" i="3"/>
  <c r="J85" i="3"/>
  <c r="I85" i="3"/>
  <c r="H85" i="3"/>
  <c r="K83" i="3"/>
  <c r="J83" i="3"/>
  <c r="I83" i="3"/>
  <c r="H83" i="3"/>
  <c r="K77" i="3"/>
  <c r="J77" i="3"/>
  <c r="I77" i="3"/>
  <c r="H77" i="3"/>
  <c r="K73" i="3"/>
  <c r="J73" i="3"/>
  <c r="I73" i="3"/>
  <c r="H73" i="3"/>
  <c r="K72" i="3"/>
  <c r="J72" i="3"/>
  <c r="I72" i="3"/>
  <c r="H72" i="3"/>
  <c r="K71" i="3"/>
  <c r="J71" i="3"/>
  <c r="I71" i="3"/>
  <c r="H71" i="3"/>
  <c r="K70" i="3"/>
  <c r="J70" i="3"/>
  <c r="I70" i="3"/>
  <c r="H70" i="3"/>
  <c r="K69" i="3"/>
  <c r="J69" i="3"/>
  <c r="I69" i="3"/>
  <c r="H69" i="3"/>
  <c r="K68" i="3"/>
  <c r="J68" i="3"/>
  <c r="I68" i="3"/>
  <c r="H68" i="3"/>
  <c r="K67" i="3"/>
  <c r="J67" i="3"/>
  <c r="I67" i="3"/>
  <c r="H67" i="3"/>
  <c r="K66" i="3"/>
  <c r="J66" i="3"/>
  <c r="I66" i="3"/>
  <c r="H66" i="3"/>
  <c r="K65" i="3"/>
  <c r="J65" i="3"/>
  <c r="I65" i="3"/>
  <c r="H65" i="3"/>
  <c r="K64" i="3"/>
  <c r="J64" i="3"/>
  <c r="I64" i="3"/>
  <c r="H64" i="3"/>
  <c r="K49" i="3"/>
  <c r="J49" i="3"/>
  <c r="I49" i="3"/>
  <c r="H49" i="3"/>
  <c r="K43" i="3"/>
  <c r="J43" i="3"/>
  <c r="I43" i="3"/>
  <c r="H43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7" i="3"/>
  <c r="J7" i="3"/>
  <c r="I7" i="3"/>
  <c r="H7" i="3"/>
  <c r="K6" i="3"/>
  <c r="J6" i="3"/>
  <c r="I6" i="3"/>
  <c r="H6" i="3"/>
  <c r="K5" i="3"/>
  <c r="J5" i="3"/>
  <c r="I5" i="3"/>
  <c r="H5" i="3"/>
  <c r="K76" i="3"/>
  <c r="J76" i="3"/>
  <c r="I76" i="3"/>
  <c r="H76" i="3"/>
  <c r="K114" i="3"/>
  <c r="J114" i="3"/>
  <c r="I114" i="3"/>
  <c r="H114" i="3"/>
  <c r="K109" i="3"/>
  <c r="J109" i="3"/>
  <c r="I109" i="3"/>
  <c r="H109" i="3"/>
  <c r="K108" i="3"/>
  <c r="J108" i="3"/>
  <c r="I108" i="3"/>
  <c r="H108" i="3"/>
  <c r="K107" i="3"/>
  <c r="J107" i="3"/>
  <c r="I107" i="3"/>
  <c r="H107" i="3"/>
  <c r="K106" i="3"/>
  <c r="J106" i="3"/>
  <c r="I106" i="3"/>
  <c r="H106" i="3"/>
  <c r="K103" i="3"/>
  <c r="J103" i="3"/>
  <c r="I103" i="3"/>
  <c r="H103" i="3"/>
  <c r="K93" i="3"/>
  <c r="J93" i="3"/>
  <c r="I93" i="3"/>
  <c r="H93" i="3"/>
  <c r="K89" i="3"/>
  <c r="J89" i="3"/>
  <c r="I89" i="3"/>
  <c r="H89" i="3"/>
  <c r="K80" i="3"/>
  <c r="J80" i="3"/>
  <c r="I80" i="3"/>
  <c r="H80" i="3"/>
  <c r="K75" i="3"/>
  <c r="J75" i="3"/>
  <c r="I75" i="3"/>
  <c r="H75" i="3"/>
  <c r="K63" i="3"/>
  <c r="J63" i="3"/>
  <c r="I63" i="3"/>
  <c r="H63" i="3"/>
  <c r="K57" i="3"/>
  <c r="J57" i="3"/>
  <c r="I57" i="3"/>
  <c r="H57" i="3"/>
  <c r="K54" i="3"/>
  <c r="J54" i="3"/>
  <c r="I54" i="3"/>
  <c r="H54" i="3"/>
  <c r="K51" i="3"/>
  <c r="J51" i="3"/>
  <c r="I51" i="3"/>
  <c r="H51" i="3"/>
  <c r="K45" i="3"/>
  <c r="J45" i="3"/>
  <c r="I45" i="3"/>
  <c r="H45" i="3"/>
  <c r="K20" i="3"/>
  <c r="J20" i="3"/>
  <c r="I20" i="3"/>
  <c r="H20" i="3"/>
  <c r="K11" i="3"/>
  <c r="J11" i="3"/>
  <c r="I11" i="3"/>
  <c r="H11" i="3"/>
  <c r="K10" i="3"/>
  <c r="J10" i="3"/>
  <c r="I10" i="3"/>
  <c r="H10" i="3"/>
  <c r="K9" i="3"/>
  <c r="J9" i="3"/>
  <c r="I9" i="3"/>
  <c r="H9" i="3"/>
  <c r="K4" i="3"/>
  <c r="J4" i="3"/>
  <c r="I4" i="3"/>
  <c r="H4" i="3"/>
  <c r="K3" i="3"/>
  <c r="J3" i="3"/>
  <c r="I3" i="3"/>
  <c r="H3" i="3"/>
  <c r="K117" i="3"/>
  <c r="J117" i="3"/>
  <c r="I117" i="3"/>
  <c r="H117" i="3"/>
  <c r="K113" i="3"/>
  <c r="J113" i="3"/>
  <c r="I113" i="3"/>
  <c r="H113" i="3"/>
  <c r="K105" i="3"/>
  <c r="J105" i="3"/>
  <c r="I105" i="3"/>
  <c r="H105" i="3"/>
  <c r="K102" i="3"/>
  <c r="J102" i="3"/>
  <c r="I102" i="3"/>
  <c r="H102" i="3"/>
  <c r="K101" i="3"/>
  <c r="J101" i="3"/>
  <c r="I101" i="3"/>
  <c r="H101" i="3"/>
  <c r="K100" i="3"/>
  <c r="J100" i="3"/>
  <c r="I100" i="3"/>
  <c r="H100" i="3"/>
  <c r="K97" i="3"/>
  <c r="J97" i="3"/>
  <c r="I97" i="3"/>
  <c r="H97" i="3"/>
  <c r="K92" i="3"/>
  <c r="J92" i="3"/>
  <c r="I92" i="3"/>
  <c r="H92" i="3"/>
  <c r="K88" i="3"/>
  <c r="J88" i="3"/>
  <c r="I88" i="3"/>
  <c r="H88" i="3"/>
  <c r="K84" i="3"/>
  <c r="J84" i="3"/>
  <c r="I84" i="3"/>
  <c r="H84" i="3"/>
  <c r="K82" i="3"/>
  <c r="J82" i="3"/>
  <c r="I82" i="3"/>
  <c r="H82" i="3"/>
  <c r="K78" i="3"/>
  <c r="J78" i="3"/>
  <c r="I78" i="3"/>
  <c r="H78" i="3"/>
  <c r="K74" i="3"/>
  <c r="J74" i="3"/>
  <c r="I74" i="3"/>
  <c r="H74" i="3"/>
  <c r="K62" i="3"/>
  <c r="J62" i="3"/>
  <c r="I62" i="3"/>
  <c r="H62" i="3"/>
  <c r="K61" i="3"/>
  <c r="J61" i="3"/>
  <c r="I61" i="3"/>
  <c r="H61" i="3"/>
  <c r="K60" i="3"/>
  <c r="J60" i="3"/>
  <c r="I60" i="3"/>
  <c r="H60" i="3"/>
  <c r="K59" i="3"/>
  <c r="J59" i="3"/>
  <c r="I59" i="3"/>
  <c r="H59" i="3"/>
  <c r="K58" i="3"/>
  <c r="J58" i="3"/>
  <c r="I58" i="3"/>
  <c r="H58" i="3"/>
  <c r="K56" i="3"/>
  <c r="J56" i="3"/>
  <c r="I56" i="3"/>
  <c r="H56" i="3"/>
  <c r="K55" i="3"/>
  <c r="J55" i="3"/>
  <c r="I55" i="3"/>
  <c r="H55" i="3"/>
  <c r="K52" i="3"/>
  <c r="J52" i="3"/>
  <c r="I52" i="3"/>
  <c r="H52" i="3"/>
  <c r="K50" i="3"/>
  <c r="J50" i="3"/>
  <c r="I50" i="3"/>
  <c r="H50" i="3"/>
  <c r="K48" i="3"/>
  <c r="J48" i="3"/>
  <c r="I48" i="3"/>
  <c r="H48" i="3"/>
  <c r="K47" i="3"/>
  <c r="J47" i="3"/>
  <c r="I47" i="3"/>
  <c r="H47" i="3"/>
  <c r="K46" i="3"/>
  <c r="J46" i="3"/>
  <c r="I46" i="3"/>
  <c r="H46" i="3"/>
  <c r="K44" i="3"/>
  <c r="J44" i="3"/>
  <c r="I44" i="3"/>
  <c r="H44" i="3"/>
  <c r="K29" i="3"/>
  <c r="J29" i="3"/>
  <c r="I29" i="3"/>
  <c r="H29" i="3"/>
  <c r="K19" i="3"/>
  <c r="J19" i="3"/>
  <c r="I19" i="3"/>
  <c r="H19" i="3"/>
  <c r="K8" i="3"/>
  <c r="J8" i="3"/>
  <c r="I8" i="3"/>
  <c r="H8" i="3"/>
  <c r="K2" i="3"/>
  <c r="J2" i="3"/>
  <c r="I2" i="3"/>
  <c r="H2" i="3"/>
  <c r="L54" i="2"/>
  <c r="K54" i="2"/>
  <c r="J54" i="2"/>
  <c r="I54" i="2"/>
  <c r="L52" i="2"/>
  <c r="K52" i="2"/>
  <c r="J52" i="2"/>
  <c r="I52" i="2"/>
  <c r="L47" i="2"/>
  <c r="K47" i="2"/>
  <c r="J47" i="2"/>
  <c r="I47" i="2"/>
  <c r="L46" i="2"/>
  <c r="K46" i="2"/>
  <c r="J46" i="2"/>
  <c r="I46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40" i="2"/>
  <c r="K40" i="2"/>
  <c r="J40" i="2"/>
  <c r="I40" i="2"/>
  <c r="L38" i="2"/>
  <c r="K38" i="2"/>
  <c r="J38" i="2"/>
  <c r="I38" i="2"/>
  <c r="L37" i="2"/>
  <c r="K37" i="2"/>
  <c r="J37" i="2"/>
  <c r="I37" i="2"/>
  <c r="L36" i="2"/>
  <c r="K36" i="2"/>
  <c r="J36" i="2"/>
  <c r="I36" i="2"/>
  <c r="L35" i="2"/>
  <c r="K35" i="2"/>
  <c r="J35" i="2"/>
  <c r="I35" i="2"/>
  <c r="L34" i="2"/>
  <c r="K34" i="2"/>
  <c r="J34" i="2"/>
  <c r="I34" i="2"/>
  <c r="L32" i="2"/>
  <c r="K32" i="2"/>
  <c r="J32" i="2"/>
  <c r="I32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3" i="2"/>
  <c r="K23" i="2"/>
  <c r="J23" i="2"/>
  <c r="I23" i="2"/>
  <c r="L22" i="2"/>
  <c r="K22" i="2"/>
  <c r="J22" i="2"/>
  <c r="I22" i="2"/>
  <c r="L20" i="2"/>
  <c r="K20" i="2"/>
  <c r="J20" i="2"/>
  <c r="I20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2" i="2"/>
  <c r="K12" i="2"/>
  <c r="J12" i="2"/>
  <c r="I12" i="2"/>
  <c r="L11" i="2"/>
  <c r="K11" i="2"/>
  <c r="J11" i="2"/>
  <c r="I11" i="2"/>
  <c r="L9" i="2"/>
  <c r="K9" i="2"/>
  <c r="J9" i="2"/>
  <c r="I9" i="2"/>
  <c r="L5" i="2"/>
  <c r="K5" i="2"/>
  <c r="J5" i="2"/>
  <c r="I5" i="2"/>
  <c r="L2" i="2"/>
  <c r="K2" i="2"/>
  <c r="J2" i="2"/>
  <c r="I2" i="2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L5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K5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J5" i="1"/>
  <c r="J9" i="1"/>
  <c r="J11" i="1"/>
  <c r="J12" i="1"/>
  <c r="J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5" i="1"/>
  <c r="I9" i="1"/>
  <c r="I11" i="1"/>
  <c r="I12" i="1"/>
  <c r="I2" i="1"/>
</calcChain>
</file>

<file path=xl/sharedStrings.xml><?xml version="1.0" encoding="utf-8"?>
<sst xmlns="http://schemas.openxmlformats.org/spreadsheetml/2006/main" count="869" uniqueCount="381">
  <si>
    <t>Hex</t>
    <phoneticPr fontId="1"/>
  </si>
  <si>
    <t>Man</t>
    <phoneticPr fontId="1"/>
  </si>
  <si>
    <t>GlcNAc</t>
    <phoneticPr fontId="1"/>
  </si>
  <si>
    <t>G83161QT</t>
    <phoneticPr fontId="1"/>
  </si>
  <si>
    <t xml:space="preserve">	G68668TB</t>
    <phoneticPr fontId="1"/>
  </si>
  <si>
    <t>G63337SS</t>
    <phoneticPr fontId="1"/>
  </si>
  <si>
    <t xml:space="preserve">	G80966KZ</t>
    <phoneticPr fontId="1"/>
  </si>
  <si>
    <t>G34499SX</t>
    <phoneticPr fontId="1"/>
  </si>
  <si>
    <t xml:space="preserve">	G40702WU</t>
    <phoneticPr fontId="1"/>
  </si>
  <si>
    <t>G70358QM</t>
    <phoneticPr fontId="1"/>
  </si>
  <si>
    <t>G60230HH</t>
    <phoneticPr fontId="1"/>
  </si>
  <si>
    <t>HexNAc</t>
    <phoneticPr fontId="1"/>
  </si>
  <si>
    <t>Deoxyhexose</t>
    <phoneticPr fontId="1"/>
  </si>
  <si>
    <t>N-Acetyl-Hexosamine</t>
    <phoneticPr fontId="1"/>
  </si>
  <si>
    <t>Hexose</t>
    <phoneticPr fontId="1"/>
  </si>
  <si>
    <t>Deoxy-Hexose</t>
    <phoneticPr fontId="1"/>
  </si>
  <si>
    <t>G47809KW</t>
    <phoneticPr fontId="1"/>
  </si>
  <si>
    <t>G44572NU</t>
    <phoneticPr fontId="1"/>
  </si>
  <si>
    <t>G49401CB</t>
    <phoneticPr fontId="1"/>
  </si>
  <si>
    <t>G82680EC</t>
    <phoneticPr fontId="1"/>
  </si>
  <si>
    <t>G80858MF</t>
    <phoneticPr fontId="1"/>
  </si>
  <si>
    <t>Figにない</t>
    <phoneticPr fontId="1"/>
  </si>
  <si>
    <t>G20966TZ</t>
    <phoneticPr fontId="1"/>
  </si>
  <si>
    <t>G36191CD</t>
    <phoneticPr fontId="1"/>
  </si>
  <si>
    <t>G43664YB</t>
    <phoneticPr fontId="1"/>
  </si>
  <si>
    <t xml:space="preserve">	G13151XE</t>
    <phoneticPr fontId="1"/>
  </si>
  <si>
    <t>G27293OK</t>
    <phoneticPr fontId="1"/>
  </si>
  <si>
    <t>9a</t>
  </si>
  <si>
    <t>9a</t>
    <phoneticPr fontId="1"/>
  </si>
  <si>
    <t>9b</t>
  </si>
  <si>
    <t>9b</t>
    <phoneticPr fontId="1"/>
  </si>
  <si>
    <t>G90017UO</t>
    <phoneticPr fontId="1"/>
  </si>
  <si>
    <t>10a</t>
  </si>
  <si>
    <t xml:space="preserve">	G78059CC</t>
    <phoneticPr fontId="1"/>
  </si>
  <si>
    <t>G52428MJ</t>
    <phoneticPr fontId="1"/>
  </si>
  <si>
    <t>G87073UP</t>
    <phoneticPr fontId="1"/>
  </si>
  <si>
    <t>G99969SS</t>
    <phoneticPr fontId="1"/>
  </si>
  <si>
    <t xml:space="preserve">	G14050KB</t>
    <phoneticPr fontId="1"/>
  </si>
  <si>
    <t>Figにあるbisect登録なし</t>
    <rPh sb="12" eb="14">
      <t>トウロク</t>
    </rPh>
    <phoneticPr fontId="1"/>
  </si>
  <si>
    <t>10b</t>
  </si>
  <si>
    <t>G52880ZN</t>
    <phoneticPr fontId="1"/>
  </si>
  <si>
    <t>G85709JZ</t>
    <phoneticPr fontId="1"/>
  </si>
  <si>
    <t>G06830JN</t>
    <phoneticPr fontId="1"/>
  </si>
  <si>
    <t>Figにある登録なし</t>
    <rPh sb="6" eb="8">
      <t>トウロク</t>
    </rPh>
    <phoneticPr fontId="1"/>
  </si>
  <si>
    <t>NeuAc</t>
    <phoneticPr fontId="1"/>
  </si>
  <si>
    <t>N-Acetyl-Neuraminic acid</t>
    <phoneticPr fontId="1"/>
  </si>
  <si>
    <t>G90348RI</t>
    <phoneticPr fontId="1"/>
  </si>
  <si>
    <t xml:space="preserve">	G97823BP</t>
    <phoneticPr fontId="1"/>
  </si>
  <si>
    <t>FigにないcoreFucなしG43402RG今回は除外</t>
    <phoneticPr fontId="1"/>
  </si>
  <si>
    <t>G47253OG</t>
    <phoneticPr fontId="1"/>
  </si>
  <si>
    <t>14a</t>
  </si>
  <si>
    <t>G94019IV</t>
    <phoneticPr fontId="1"/>
  </si>
  <si>
    <t>publicationなし</t>
    <phoneticPr fontId="1"/>
  </si>
  <si>
    <t>14b</t>
  </si>
  <si>
    <t>構造登録なし</t>
    <rPh sb="0" eb="4">
      <t>コウゾウ</t>
    </rPh>
    <phoneticPr fontId="1"/>
  </si>
  <si>
    <t xml:space="preserve">	G30159WR</t>
    <phoneticPr fontId="1"/>
  </si>
  <si>
    <t>G61207RZ</t>
    <phoneticPr fontId="1"/>
  </si>
  <si>
    <t>Figにない非bisect</t>
    <phoneticPr fontId="1"/>
  </si>
  <si>
    <t>17a</t>
  </si>
  <si>
    <t>17b</t>
  </si>
  <si>
    <t>17c</t>
  </si>
  <si>
    <t>G85767HW</t>
    <phoneticPr fontId="1"/>
  </si>
  <si>
    <t>Figにない登録bisect</t>
    <rPh sb="6" eb="8">
      <t>トウロク</t>
    </rPh>
    <phoneticPr fontId="1"/>
  </si>
  <si>
    <t>G92617LF</t>
    <phoneticPr fontId="1"/>
  </si>
  <si>
    <t xml:space="preserve">	G88417ED</t>
    <phoneticPr fontId="1"/>
  </si>
  <si>
    <t>FigにないGalNAc</t>
    <phoneticPr fontId="1"/>
  </si>
  <si>
    <t>18a</t>
  </si>
  <si>
    <t>18a</t>
    <phoneticPr fontId="1"/>
  </si>
  <si>
    <t>18b</t>
  </si>
  <si>
    <t>18b</t>
    <phoneticPr fontId="1"/>
  </si>
  <si>
    <t>G82753OZ</t>
    <phoneticPr fontId="1"/>
  </si>
  <si>
    <t>G36581MF</t>
    <phoneticPr fontId="1"/>
  </si>
  <si>
    <t>FigにあるGalFuc登録なし</t>
    <rPh sb="12" eb="14">
      <t>トウロク</t>
    </rPh>
    <phoneticPr fontId="1"/>
  </si>
  <si>
    <t>19a</t>
  </si>
  <si>
    <t>19a</t>
    <phoneticPr fontId="1"/>
  </si>
  <si>
    <t>19b</t>
  </si>
  <si>
    <t>G07041CT</t>
    <phoneticPr fontId="1"/>
  </si>
  <si>
    <t xml:space="preserve">G70945OS	</t>
    <phoneticPr fontId="1"/>
  </si>
  <si>
    <t>Figにない2GalFuc</t>
    <phoneticPr fontId="1"/>
  </si>
  <si>
    <t>G96489SM</t>
    <phoneticPr fontId="1"/>
  </si>
  <si>
    <t xml:space="preserve">	G18119HR</t>
    <phoneticPr fontId="1"/>
  </si>
  <si>
    <t xml:space="preserve">G86298IX	</t>
    <phoneticPr fontId="1"/>
  </si>
  <si>
    <t>FigにないGalFucGalNAc</t>
    <phoneticPr fontId="1"/>
  </si>
  <si>
    <t xml:space="preserve">	G11696PX</t>
    <phoneticPr fontId="1"/>
  </si>
  <si>
    <t>G42504VW</t>
    <phoneticPr fontId="1"/>
  </si>
  <si>
    <t>G65760UO</t>
    <phoneticPr fontId="1"/>
  </si>
  <si>
    <t>publicatinなし</t>
    <phoneticPr fontId="1"/>
  </si>
  <si>
    <t>22a</t>
  </si>
  <si>
    <t>22b</t>
  </si>
  <si>
    <t>22c</t>
  </si>
  <si>
    <t>22d</t>
  </si>
  <si>
    <t xml:space="preserve">	G60660BN</t>
    <phoneticPr fontId="1"/>
  </si>
  <si>
    <t>G97576UM</t>
    <phoneticPr fontId="1"/>
  </si>
  <si>
    <t>23a</t>
  </si>
  <si>
    <t>23b</t>
  </si>
  <si>
    <t>G67895PX</t>
    <phoneticPr fontId="1"/>
  </si>
  <si>
    <t>G38899PV</t>
    <phoneticPr fontId="1"/>
  </si>
  <si>
    <t>G88948CY</t>
    <phoneticPr fontId="1"/>
  </si>
  <si>
    <t>FigにないGlcNAc</t>
    <phoneticPr fontId="1"/>
  </si>
  <si>
    <t xml:space="preserve">G83945MQ	</t>
    <phoneticPr fontId="1"/>
  </si>
  <si>
    <t>Figにないbisect, GlcNAc</t>
    <phoneticPr fontId="1"/>
  </si>
  <si>
    <t xml:space="preserve">	G71451NN</t>
    <phoneticPr fontId="1"/>
  </si>
  <si>
    <t>G95499ZQ</t>
    <phoneticPr fontId="1"/>
  </si>
  <si>
    <t>Figにないbisect</t>
    <phoneticPr fontId="1"/>
  </si>
  <si>
    <t>26a</t>
  </si>
  <si>
    <t>26b</t>
  </si>
  <si>
    <t>G66315HA</t>
    <phoneticPr fontId="1"/>
  </si>
  <si>
    <t>非曖昧構造はこれだけ</t>
    <rPh sb="0" eb="3">
      <t>ヒアイ</t>
    </rPh>
    <rPh sb="3" eb="5">
      <t>コウゾウ</t>
    </rPh>
    <phoneticPr fontId="1"/>
  </si>
  <si>
    <t>G13688QP</t>
    <phoneticPr fontId="1"/>
  </si>
  <si>
    <t xml:space="preserve">	G07817HH	</t>
    <phoneticPr fontId="1"/>
  </si>
  <si>
    <t>G26713RV</t>
    <phoneticPr fontId="1"/>
  </si>
  <si>
    <t xml:space="preserve">G62018FE	</t>
    <phoneticPr fontId="1"/>
  </si>
  <si>
    <t>28a</t>
  </si>
  <si>
    <t>28b</t>
  </si>
  <si>
    <t>28c</t>
  </si>
  <si>
    <t>28d</t>
  </si>
  <si>
    <t>G68098GR</t>
    <phoneticPr fontId="1"/>
  </si>
  <si>
    <t>なし</t>
    <phoneticPr fontId="1"/>
  </si>
  <si>
    <t>G35139NO</t>
    <phoneticPr fontId="1"/>
  </si>
  <si>
    <t>28a-d</t>
    <phoneticPr fontId="1"/>
  </si>
  <si>
    <t>26ab</t>
    <phoneticPr fontId="1"/>
  </si>
  <si>
    <t>23ab</t>
    <phoneticPr fontId="1"/>
  </si>
  <si>
    <t>22a-d</t>
    <phoneticPr fontId="1"/>
  </si>
  <si>
    <t>19bc</t>
    <phoneticPr fontId="1"/>
  </si>
  <si>
    <t>17a-c</t>
    <phoneticPr fontId="1"/>
  </si>
  <si>
    <t>14ab</t>
    <phoneticPr fontId="1"/>
  </si>
  <si>
    <t>12a-c</t>
    <phoneticPr fontId="1"/>
  </si>
  <si>
    <t>10a-c</t>
    <phoneticPr fontId="1"/>
  </si>
  <si>
    <t>10d</t>
  </si>
  <si>
    <t>10d</t>
    <phoneticPr fontId="1"/>
  </si>
  <si>
    <t>2ab</t>
    <phoneticPr fontId="1"/>
  </si>
  <si>
    <t>G81980VO</t>
    <phoneticPr fontId="1"/>
  </si>
  <si>
    <t xml:space="preserve">	G04414GO</t>
    <phoneticPr fontId="1"/>
  </si>
  <si>
    <t>Publication</t>
    <phoneticPr fontId="1"/>
  </si>
  <si>
    <t>Figにある候補なし</t>
    <rPh sb="6" eb="8">
      <t>コウホ</t>
    </rPh>
    <phoneticPr fontId="1"/>
  </si>
  <si>
    <t>G60929YB</t>
    <phoneticPr fontId="1"/>
  </si>
  <si>
    <t>Mouse Humanなし</t>
    <phoneticPr fontId="1"/>
  </si>
  <si>
    <t>G08161JQ</t>
    <phoneticPr fontId="1"/>
  </si>
  <si>
    <t xml:space="preserve">	G36521AS</t>
    <phoneticPr fontId="1"/>
  </si>
  <si>
    <t xml:space="preserve">	G19885CO</t>
    <phoneticPr fontId="1"/>
  </si>
  <si>
    <t xml:space="preserve">	G77978WQ</t>
    <phoneticPr fontId="1"/>
  </si>
  <si>
    <t xml:space="preserve">	G47635WM	</t>
    <phoneticPr fontId="1"/>
  </si>
  <si>
    <t xml:space="preserve">	G68759SP</t>
    <phoneticPr fontId="1"/>
  </si>
  <si>
    <t xml:space="preserve">	G11543SV</t>
    <phoneticPr fontId="1"/>
  </si>
  <si>
    <t>G84233SI</t>
    <phoneticPr fontId="1"/>
  </si>
  <si>
    <t>organism不明</t>
    <rPh sb="8" eb="10">
      <t>フメイ</t>
    </rPh>
    <phoneticPr fontId="1"/>
  </si>
  <si>
    <t>DBにない</t>
  </si>
  <si>
    <t>DBにない</t>
    <phoneticPr fontId="1"/>
  </si>
  <si>
    <t>Figに情報なし</t>
    <rPh sb="4" eb="6">
      <t>ジョウホウ</t>
    </rPh>
    <phoneticPr fontId="1"/>
  </si>
  <si>
    <t>No</t>
    <phoneticPr fontId="1"/>
  </si>
  <si>
    <t>No.</t>
  </si>
  <si>
    <t>M+3H</t>
  </si>
  <si>
    <t>M+2H</t>
  </si>
  <si>
    <t>Structure</t>
  </si>
  <si>
    <t>2a</t>
  </si>
  <si>
    <t>2b</t>
  </si>
  <si>
    <t>M+H (calc)</t>
  </si>
  <si>
    <t>Δ mass</t>
  </si>
  <si>
    <t>mass range for EIC</t>
  </si>
  <si>
    <t>peak intensity (Mgat3+/+)</t>
  </si>
  <si>
    <t>peak intensity (Mgat3−/−)</t>
  </si>
  <si>
    <t>rel. abund % (Mgat3−/−)</t>
  </si>
  <si>
    <t>(Hex)3 + (Man)3 (GlcNAc)2</t>
  </si>
  <si>
    <t>849.86-849.88</t>
  </si>
  <si>
    <t>(Hex)4 + (Man)3 (GlcNAc)2</t>
  </si>
  <si>
    <t>930.88-930.91</t>
  </si>
  <si>
    <t>(Hex)5 + (Man)3 (GlcNAc)2</t>
  </si>
  <si>
    <t>1011.91-1011.93</t>
  </si>
  <si>
    <t>(Hex)6 + (Man)3 (GlcNAc)2</t>
  </si>
  <si>
    <t>1092.94-1092.96</t>
  </si>
  <si>
    <t>(Hex)2 (HexNAc)1 (Deoxyhexose)2 + (Man)3 (GlcNAc)2</t>
  </si>
  <si>
    <t>1016.43-1016.45</t>
  </si>
  <si>
    <t>(Hex)3 (HexNAc)1 (Deoxyhexose)2 + (Man)3 (GlcNAc)2</t>
  </si>
  <si>
    <t>1097.45-1097.48</t>
  </si>
  <si>
    <t>(HexNAc)2 (Deoxyhexose)1 + (Man)3 (GlcNAc)2</t>
  </si>
  <si>
    <t>882.88-882.91</t>
  </si>
  <si>
    <t>(Hex)2 (HexNAc)2 + (Man)3 (GlcNAc)2</t>
  </si>
  <si>
    <t>971.91-971.93</t>
  </si>
  <si>
    <t>(Hex)1 (HexNAc)2 (Deoxyhexose)2 + (Man)3 (GlcNAc)2</t>
  </si>
  <si>
    <t>1036.94-1036.97</t>
  </si>
  <si>
    <t>(Hex)2 (HexNAc)2 (Deoxyhexose)1 + (Man)3 (GlcNAc)2</t>
  </si>
  <si>
    <t>1044.94-1044.97</t>
  </si>
  <si>
    <t>10c</t>
  </si>
  <si>
    <t>(Hex)2 (HexNAc)2 (Deoxyhexose)3 + (Man)3 (GlcNAc)2</t>
  </si>
  <si>
    <t>1191.00-1191.02</t>
  </si>
  <si>
    <t>12a</t>
  </si>
  <si>
    <t>(Hex)2 (HexNAc)2 (Deoxyhexose)2 (NeuAc)1 + (Man)3 (GlcNAc)2</t>
  </si>
  <si>
    <t>842.67-842.70</t>
  </si>
  <si>
    <t>12b</t>
  </si>
  <si>
    <t>12c</t>
  </si>
  <si>
    <t>(Hex)2 (HexNAc)2 (Deoxyhexose)2 (NeuAc)2 + (Man)3 (GlcNAc)2</t>
  </si>
  <si>
    <t>939.71-939.73</t>
  </si>
  <si>
    <t>(Hex)2 (HexNAc)2 (Deoxyhexose)1 (NeuAc)3 + (Man)3 (GlcNAc)2</t>
  </si>
  <si>
    <t>988.05-988.08</t>
  </si>
  <si>
    <t>(Hex)2 (HexNAc)2 (Deoxyhexose)1 (NeuAc)4 + (Man)3 (GlcNAc)2</t>
  </si>
  <si>
    <t>1085.09-1085.11</t>
  </si>
  <si>
    <t>(HexNAc)3 (Deoxyhexose)1 + (Man)3 (GlcNAc)2</t>
  </si>
  <si>
    <t>984.42-984.45</t>
  </si>
  <si>
    <t>(Hex)1 (HexNAc)3 (Deoxyhexose)1 + (Man)3 (GlcNAc)2</t>
  </si>
  <si>
    <t>1065.45-1065.48</t>
  </si>
  <si>
    <t>(Hex)1 (HexNAc)3 (Deoxyhexose)2 + (Man)3 (GlcNAc)2</t>
  </si>
  <si>
    <t>1138.48-1138.51</t>
  </si>
  <si>
    <t>(Hex)2 (HexNAc)3 (Deoxyhexose)3 + (Man)3 (GlcNAc)2</t>
  </si>
  <si>
    <t>862.02-862.05</t>
  </si>
  <si>
    <t>(Hex)2 (HexNAc)3 (Deoxyhexose)2 (NeuAc)1 + (Man)3 (GlcNAc)2</t>
  </si>
  <si>
    <t>910.37-910.39</t>
  </si>
  <si>
    <t>(Hex)3 (HexNAc)3 (Deoxyhexose)3 (NeuAc)1 + (Man)3 (GlcNAc)2</t>
  </si>
  <si>
    <t>1013.07-1013.10</t>
  </si>
  <si>
    <t>(Hex)3 (HexNAc)3 (Deoxyhexose)2 (NeuAc)2 + (Man)3 (GlcNAc)2</t>
  </si>
  <si>
    <t>1061.42-1061.45</t>
  </si>
  <si>
    <t>(Hex)3 (HexNAc)3 (Deoxyhexose)2 (NeuAc)3 + (Man)3 (GlcNAc)2</t>
  </si>
  <si>
    <t>1158.45-1158.48</t>
  </si>
  <si>
    <t>(Hex)1 (HexNAc)4 (Deoxyhexose)1 + (Man)3 (GlcNAc)2</t>
  </si>
  <si>
    <t>1167.00-1167.02</t>
  </si>
  <si>
    <t>(Hex)2 (HexNAc)4 (Deoxyhexose)3 + (Man)3 (GlcNAc)2</t>
  </si>
  <si>
    <t>929.72-929.74</t>
  </si>
  <si>
    <t>(Hex)2 (HexNAc)4 (Deoxyhexose)2 (NeuAc)2 + (Man)3 (GlcNAc)2</t>
  </si>
  <si>
    <t>1075.09-1075.12</t>
  </si>
  <si>
    <t>(Hex)4 (HexNAc)4 (Deoxyhexose)4 (NeuAc)1 + (Man)3 (GlcNAc)2</t>
  </si>
  <si>
    <t>1183.47-1183.50</t>
  </si>
  <si>
    <t>(Hex)4 (HexNAc)4 (Deoxyhexose)3 (NeuAc)2 + (Man)3 (GlcNAc)2</t>
  </si>
  <si>
    <t>1231.82-1231.84</t>
  </si>
  <si>
    <t>(Hex)3 (HexNAc)4 (Deoxyhexose)3 (NeuAc)2 + (Man)3 (GlcNAc)2</t>
  </si>
  <si>
    <t>1177.80-1177.82</t>
  </si>
  <si>
    <t>(Hex)3 (HexNAc)3 (Deoxyhexose)4 + (Man)3 (GlcNAc)2</t>
  </si>
  <si>
    <t>964.73-964.75</t>
  </si>
  <si>
    <t>control</t>
    <phoneticPr fontId="1"/>
  </si>
  <si>
    <t>increased</t>
    <phoneticPr fontId="1"/>
  </si>
  <si>
    <t>lost</t>
    <phoneticPr fontId="1"/>
  </si>
  <si>
    <t>unchanged</t>
    <phoneticPr fontId="1"/>
  </si>
  <si>
    <t>vsWT</t>
    <phoneticPr fontId="1"/>
  </si>
  <si>
    <t>G79588PU</t>
    <phoneticPr fontId="1"/>
  </si>
  <si>
    <t>G06795XH</t>
    <phoneticPr fontId="1"/>
  </si>
  <si>
    <t>manual</t>
    <phoneticPr fontId="1"/>
  </si>
  <si>
    <t>comment</t>
    <phoneticPr fontId="1"/>
  </si>
  <si>
    <t>G54925GQ</t>
  </si>
  <si>
    <t>G56973OG</t>
    <phoneticPr fontId="1"/>
  </si>
  <si>
    <t>G19885CO</t>
    <phoneticPr fontId="1"/>
  </si>
  <si>
    <t>G56670XL</t>
    <phoneticPr fontId="1"/>
  </si>
  <si>
    <t>G17955YT</t>
    <phoneticPr fontId="1"/>
  </si>
  <si>
    <t>G11543SV</t>
    <phoneticPr fontId="1"/>
  </si>
  <si>
    <t>G68668TB</t>
    <phoneticPr fontId="1"/>
  </si>
  <si>
    <t>G04414GO</t>
    <phoneticPr fontId="1"/>
  </si>
  <si>
    <t>G37135JQ</t>
    <phoneticPr fontId="1"/>
  </si>
  <si>
    <t>G40702WU</t>
    <phoneticPr fontId="1"/>
  </si>
  <si>
    <t>G97823BP</t>
    <phoneticPr fontId="1"/>
  </si>
  <si>
    <t>G30159WR</t>
    <phoneticPr fontId="1"/>
  </si>
  <si>
    <t>G36521AS</t>
    <phoneticPr fontId="1"/>
  </si>
  <si>
    <t>G18119HR</t>
    <phoneticPr fontId="1"/>
  </si>
  <si>
    <t>G11696PX</t>
    <phoneticPr fontId="1"/>
  </si>
  <si>
    <t>G60660BN</t>
    <phoneticPr fontId="1"/>
  </si>
  <si>
    <t>G71451NN</t>
    <phoneticPr fontId="1"/>
  </si>
  <si>
    <t>G02716ZR</t>
    <phoneticPr fontId="1"/>
  </si>
  <si>
    <t>rel. abund % (Mgat3+/+)</t>
    <phoneticPr fontId="1"/>
  </si>
  <si>
    <t>19c</t>
    <phoneticPr fontId="1"/>
  </si>
  <si>
    <t>bisect縛り</t>
    <rPh sb="6" eb="7">
      <t>シバリ</t>
    </rPh>
    <phoneticPr fontId="1"/>
  </si>
  <si>
    <t>G34428LG</t>
    <phoneticPr fontId="1"/>
  </si>
  <si>
    <t>ok</t>
    <phoneticPr fontId="1"/>
  </si>
  <si>
    <t>bisectなし</t>
    <phoneticPr fontId="1"/>
  </si>
  <si>
    <t>coreFuc</t>
    <phoneticPr fontId="1"/>
  </si>
  <si>
    <t>bisectなし、coreFuc</t>
    <phoneticPr fontId="1"/>
  </si>
  <si>
    <t>G27857PC</t>
    <phoneticPr fontId="1"/>
  </si>
  <si>
    <t>G84973RT</t>
    <phoneticPr fontId="1"/>
  </si>
  <si>
    <t>manual、bisectなし、coreFuc、</t>
    <phoneticPr fontId="1"/>
  </si>
  <si>
    <t>全パターンを手動生成必要</t>
    <rPh sb="0" eb="1">
      <t>ゼンパタ</t>
    </rPh>
    <rPh sb="6" eb="10">
      <t>シュドウセイ</t>
    </rPh>
    <rPh sb="10" eb="12">
      <t>ヒツヨウ</t>
    </rPh>
    <phoneticPr fontId="1"/>
  </si>
  <si>
    <t>G61897NO</t>
    <phoneticPr fontId="1"/>
  </si>
  <si>
    <t>G64780OA</t>
    <phoneticPr fontId="1"/>
  </si>
  <si>
    <t>G87354OO</t>
    <phoneticPr fontId="1"/>
  </si>
  <si>
    <t>NG</t>
    <phoneticPr fontId="1"/>
  </si>
  <si>
    <t>bisect、coreFuc</t>
    <phoneticPr fontId="1"/>
  </si>
  <si>
    <t>bisect OR bisectなし</t>
    <phoneticPr fontId="1"/>
  </si>
  <si>
    <t>bisectなし、coreFuc、GlcNACにtermFuc</t>
    <phoneticPr fontId="1"/>
  </si>
  <si>
    <t>アノテーションなし</t>
    <phoneticPr fontId="1"/>
  </si>
  <si>
    <t>FigS2</t>
    <phoneticPr fontId="1"/>
  </si>
  <si>
    <t>G21359NQ</t>
    <phoneticPr fontId="1"/>
  </si>
  <si>
    <t>別階層</t>
    <rPh sb="0" eb="3">
      <t>ベテゥ</t>
    </rPh>
    <phoneticPr fontId="1"/>
  </si>
  <si>
    <t>G16146QN</t>
    <phoneticPr fontId="1"/>
  </si>
  <si>
    <t>別階層</t>
    <rPh sb="0" eb="1">
      <t>ベテゥ</t>
    </rPh>
    <phoneticPr fontId="1"/>
  </si>
  <si>
    <t>G40363ZA</t>
    <phoneticPr fontId="1"/>
  </si>
  <si>
    <t>G62595GC</t>
    <phoneticPr fontId="1"/>
  </si>
  <si>
    <t>G25607NP</t>
    <phoneticPr fontId="1"/>
  </si>
  <si>
    <t>G82135UH</t>
    <phoneticPr fontId="1"/>
  </si>
  <si>
    <t>G33729RN</t>
    <phoneticPr fontId="1"/>
  </si>
  <si>
    <t>G37408MH</t>
    <phoneticPr fontId="1"/>
  </si>
  <si>
    <t>G39884UI</t>
    <phoneticPr fontId="1"/>
  </si>
  <si>
    <t>G20102QS</t>
    <phoneticPr fontId="1"/>
  </si>
  <si>
    <t>G34675VP</t>
    <phoneticPr fontId="1"/>
  </si>
  <si>
    <t>G86586VS</t>
    <phoneticPr fontId="1"/>
  </si>
  <si>
    <t>G23763QI</t>
    <phoneticPr fontId="1"/>
  </si>
  <si>
    <t>G51255RA</t>
    <phoneticPr fontId="1"/>
  </si>
  <si>
    <t>G71231ME</t>
    <phoneticPr fontId="1"/>
  </si>
  <si>
    <t>G93954NW</t>
    <phoneticPr fontId="1"/>
  </si>
  <si>
    <t>G81785YQ</t>
    <phoneticPr fontId="1"/>
  </si>
  <si>
    <t>G71720UK</t>
    <phoneticPr fontId="1"/>
  </si>
  <si>
    <t>G01719GV</t>
    <phoneticPr fontId="1"/>
  </si>
  <si>
    <t>G54251LR</t>
    <phoneticPr fontId="1"/>
  </si>
  <si>
    <t>G28437WV</t>
    <phoneticPr fontId="1"/>
  </si>
  <si>
    <t>G41631JQ</t>
    <phoneticPr fontId="1"/>
  </si>
  <si>
    <t>G49513EB</t>
    <phoneticPr fontId="1"/>
  </si>
  <si>
    <t>G82490CD</t>
    <phoneticPr fontId="1"/>
  </si>
  <si>
    <t>G35737AL</t>
    <phoneticPr fontId="1"/>
  </si>
  <si>
    <t>G76810HF</t>
    <phoneticPr fontId="1"/>
  </si>
  <si>
    <t>G04243TK</t>
    <phoneticPr fontId="1"/>
  </si>
  <si>
    <t>G62886DU</t>
    <phoneticPr fontId="1"/>
  </si>
  <si>
    <t>G76288KM</t>
    <phoneticPr fontId="1"/>
  </si>
  <si>
    <t>G05778WU</t>
    <phoneticPr fontId="1"/>
  </si>
  <si>
    <t>G80025QZ</t>
    <phoneticPr fontId="1"/>
  </si>
  <si>
    <t>G84733NM</t>
    <phoneticPr fontId="1"/>
  </si>
  <si>
    <t>G65843VZ</t>
    <phoneticPr fontId="1"/>
  </si>
  <si>
    <t>G38885RJ</t>
    <phoneticPr fontId="1"/>
  </si>
  <si>
    <t>G26674VO</t>
    <phoneticPr fontId="1"/>
  </si>
  <si>
    <t>G76465ED</t>
    <phoneticPr fontId="1"/>
  </si>
  <si>
    <t>G20380YV</t>
    <phoneticPr fontId="1"/>
  </si>
  <si>
    <t>G24439YF</t>
    <phoneticPr fontId="1"/>
  </si>
  <si>
    <t>G40510IW</t>
    <phoneticPr fontId="1"/>
  </si>
  <si>
    <t>G36207NM</t>
    <phoneticPr fontId="1"/>
  </si>
  <si>
    <t>G44541MM</t>
    <phoneticPr fontId="1"/>
  </si>
  <si>
    <t>G05693UB</t>
    <phoneticPr fontId="1"/>
  </si>
  <si>
    <t>G54779CI</t>
    <phoneticPr fontId="1"/>
  </si>
  <si>
    <t>G95896BB</t>
    <phoneticPr fontId="1"/>
  </si>
  <si>
    <t>G31480QS</t>
    <phoneticPr fontId="1"/>
  </si>
  <si>
    <t>G44910OJ</t>
    <phoneticPr fontId="1"/>
  </si>
  <si>
    <t>G08910CE</t>
    <phoneticPr fontId="1"/>
  </si>
  <si>
    <t>G26246UB</t>
    <phoneticPr fontId="1"/>
  </si>
  <si>
    <t>G26414KI</t>
    <phoneticPr fontId="1"/>
  </si>
  <si>
    <t>G34418IH</t>
    <phoneticPr fontId="1"/>
  </si>
  <si>
    <t>G41339IY</t>
    <phoneticPr fontId="1"/>
  </si>
  <si>
    <t>G12476VI</t>
    <phoneticPr fontId="1"/>
  </si>
  <si>
    <t>G39892HW</t>
    <phoneticPr fontId="1"/>
  </si>
  <si>
    <t>G15493FH</t>
    <phoneticPr fontId="1"/>
  </si>
  <si>
    <t>G36952BR</t>
    <phoneticPr fontId="1"/>
  </si>
  <si>
    <t>G08537LY</t>
    <phoneticPr fontId="1"/>
  </si>
  <si>
    <t>G55797TR</t>
    <phoneticPr fontId="1"/>
  </si>
  <si>
    <t>G92148WI</t>
    <phoneticPr fontId="1"/>
  </si>
  <si>
    <t>G81833YQ</t>
    <phoneticPr fontId="1"/>
  </si>
  <si>
    <t>G97978PM</t>
    <phoneticPr fontId="1"/>
  </si>
  <si>
    <t>G82593BX</t>
    <phoneticPr fontId="1"/>
  </si>
  <si>
    <t>G91575CR</t>
    <phoneticPr fontId="1"/>
  </si>
  <si>
    <t>G75337WL</t>
    <phoneticPr fontId="1"/>
  </si>
  <si>
    <t>G47194GK</t>
    <phoneticPr fontId="1"/>
  </si>
  <si>
    <t>G93390RT</t>
    <phoneticPr fontId="1"/>
  </si>
  <si>
    <t>G30865XV</t>
    <phoneticPr fontId="1"/>
  </si>
  <si>
    <t>G94649QB</t>
    <phoneticPr fontId="1"/>
  </si>
  <si>
    <t>G37509SZ</t>
    <phoneticPr fontId="1"/>
  </si>
  <si>
    <t>G12715BN</t>
    <phoneticPr fontId="1"/>
  </si>
  <si>
    <t>G22480AI</t>
    <phoneticPr fontId="1"/>
  </si>
  <si>
    <t>G23530HI</t>
    <phoneticPr fontId="1"/>
  </si>
  <si>
    <t>G11708PE</t>
    <phoneticPr fontId="1"/>
  </si>
  <si>
    <t>G57199ET</t>
    <phoneticPr fontId="1"/>
  </si>
  <si>
    <t>G57809UF</t>
    <phoneticPr fontId="1"/>
  </si>
  <si>
    <t>G26780RT</t>
    <phoneticPr fontId="1"/>
  </si>
  <si>
    <t>G91455FT</t>
    <phoneticPr fontId="1"/>
  </si>
  <si>
    <t>G02946JZ</t>
    <phoneticPr fontId="1"/>
  </si>
  <si>
    <t>G18677CW</t>
    <phoneticPr fontId="1"/>
  </si>
  <si>
    <t>G69276PF</t>
    <phoneticPr fontId="1"/>
  </si>
  <si>
    <t>G75160OS</t>
    <phoneticPr fontId="1"/>
  </si>
  <si>
    <t>G20521VB</t>
    <phoneticPr fontId="1"/>
  </si>
  <si>
    <t>G17076AZ</t>
    <phoneticPr fontId="1"/>
  </si>
  <si>
    <t>G23700NU</t>
    <phoneticPr fontId="1"/>
  </si>
  <si>
    <t>G71046QF</t>
    <phoneticPr fontId="1"/>
  </si>
  <si>
    <t>G62059PH</t>
    <phoneticPr fontId="1"/>
  </si>
  <si>
    <t>G14278QI</t>
    <phoneticPr fontId="1"/>
  </si>
  <si>
    <t>G43245TF</t>
    <phoneticPr fontId="1"/>
  </si>
  <si>
    <t>G52951VH</t>
    <phoneticPr fontId="1"/>
  </si>
  <si>
    <t>G57923KF</t>
    <phoneticPr fontId="1"/>
  </si>
  <si>
    <t>G51882FM</t>
    <phoneticPr fontId="1"/>
  </si>
  <si>
    <t>G46845RA</t>
    <phoneticPr fontId="1"/>
  </si>
  <si>
    <t>G80201UC</t>
    <phoneticPr fontId="1"/>
  </si>
  <si>
    <t>G75633TJ</t>
    <phoneticPr fontId="1"/>
  </si>
  <si>
    <t>G40610OW</t>
    <phoneticPr fontId="1"/>
  </si>
  <si>
    <t>G73124MJ</t>
    <phoneticPr fontId="1"/>
  </si>
  <si>
    <t>G94919LP</t>
    <phoneticPr fontId="1"/>
  </si>
  <si>
    <t>G97739UF</t>
    <phoneticPr fontId="1"/>
  </si>
  <si>
    <t>G61502PJ</t>
    <phoneticPr fontId="1"/>
  </si>
  <si>
    <t>G85733UX</t>
    <phoneticPr fontId="1"/>
  </si>
  <si>
    <t>status</t>
    <phoneticPr fontId="1"/>
  </si>
  <si>
    <t>GlyTouCanID_new</t>
    <phoneticPr fontId="1"/>
  </si>
  <si>
    <t>GlyTouCanID_old</t>
    <phoneticPr fontId="1"/>
  </si>
  <si>
    <t>constraint</t>
    <phoneticPr fontId="1"/>
  </si>
  <si>
    <t>要確認（手動生成必要）</t>
    <rPh sb="0" eb="3">
      <t>ヨウカクニn</t>
    </rPh>
    <rPh sb="4" eb="8">
      <t>シュドウセイ</t>
    </rPh>
    <rPh sb="8" eb="10">
      <t>ヒツヨウ</t>
    </rPh>
    <phoneticPr fontId="1"/>
  </si>
  <si>
    <t>G11986MJ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</si>
</sst>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2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0" xfId="0" applyFill="1">
      <alignment vertical="center"/>
    </xf>
    <xf numFmtId="0" fontId="2" fillId="3" borderId="2" xfId="0" applyFont="1" applyFill="1" applyBorder="1">
      <alignment vertical="center"/>
    </xf>
    <xf numFmtId="0" fontId="4" fillId="0" borderId="0" xfId="0" applyFont="1">
      <alignment vertical="center"/>
    </xf>
    <xf numFmtId="0" fontId="0" fillId="2" borderId="4" xfId="0" applyFill="1" applyBorder="1">
      <alignment vertical="center"/>
    </xf>
    <xf numFmtId="0" fontId="0" fillId="4" borderId="4" xfId="0" applyFill="1" applyBorder="1">
      <alignment vertical="center"/>
    </xf>
    <xf numFmtId="0" fontId="0" fillId="0" borderId="4" xfId="0" applyBorder="1">
      <alignment vertical="center"/>
    </xf>
    <xf numFmtId="0" fontId="7" fillId="0" borderId="4" xfId="0" applyFont="1" applyBorder="1">
      <alignment vertical="center"/>
    </xf>
    <xf numFmtId="0" fontId="8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0" fillId="5" borderId="4" xfId="0" applyFill="1" applyBorder="1">
      <alignment vertical="center"/>
    </xf>
    <xf numFmtId="0" fontId="2" fillId="5" borderId="4" xfId="0" applyFont="1" applyFill="1" applyBorder="1">
      <alignment vertical="center"/>
    </xf>
    <xf numFmtId="0" fontId="6" fillId="0" borderId="4" xfId="0" applyFont="1" applyBorder="1">
      <alignment vertical="center"/>
    </xf>
    <xf numFmtId="0" fontId="5" fillId="0" borderId="4" xfId="0" applyFont="1" applyBorder="1">
      <alignment vertical="center"/>
    </xf>
    <xf numFmtId="176" fontId="5" fillId="0" borderId="4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7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7" fillId="0" borderId="6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0" fillId="4" borderId="5" xfId="0" applyFill="1" applyBorder="1">
      <alignment vertical="center"/>
    </xf>
    <xf numFmtId="0" fontId="7" fillId="0" borderId="5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08BC-10F2-C541-B192-1C1E19FD4656}">
  <sheetPr>
    <pageSetUpPr fitToPage="1"/>
  </sheetPr>
  <dimension ref="A1:AG119"/>
  <sheetViews>
    <sheetView tabSelected="1" workbookViewId="0">
      <selection activeCell="AH119" sqref="AH119:AH122"/>
    </sheetView>
  </sheetViews>
  <sheetFormatPr baseColWidth="10" defaultRowHeight="20"/>
  <cols>
    <col min="2" max="11" width="2" customWidth="1"/>
    <col min="12" max="12" width="16" bestFit="1" customWidth="1"/>
    <col min="13" max="13" width="10.5703125" bestFit="1" customWidth="1"/>
    <col min="14" max="14" width="23.28515625" bestFit="1" customWidth="1"/>
    <col min="15" max="15" width="36.140625" bestFit="1" customWidth="1"/>
    <col min="16" max="16" width="10.5703125" customWidth="1"/>
    <col min="17" max="17" width="15.5703125" customWidth="1"/>
    <col min="20" max="20" width="21.42578125" bestFit="1" customWidth="1"/>
  </cols>
  <sheetData>
    <row r="1" spans="1:17">
      <c r="A1" s="18" t="s">
        <v>149</v>
      </c>
      <c r="B1" s="18" t="s">
        <v>0</v>
      </c>
      <c r="C1" s="18" t="s">
        <v>11</v>
      </c>
      <c r="D1" s="18" t="s">
        <v>12</v>
      </c>
      <c r="E1" s="18" t="s">
        <v>44</v>
      </c>
      <c r="F1" s="18" t="s">
        <v>1</v>
      </c>
      <c r="G1" s="18" t="s">
        <v>2</v>
      </c>
      <c r="H1" s="19" t="s">
        <v>14</v>
      </c>
      <c r="I1" s="19" t="s">
        <v>13</v>
      </c>
      <c r="J1" s="19" t="s">
        <v>15</v>
      </c>
      <c r="K1" s="19" t="s">
        <v>45</v>
      </c>
      <c r="L1" s="18" t="s">
        <v>377</v>
      </c>
      <c r="M1" s="19" t="s">
        <v>230</v>
      </c>
      <c r="N1" s="19" t="s">
        <v>234</v>
      </c>
      <c r="O1" s="37" t="s">
        <v>378</v>
      </c>
      <c r="P1" s="15" t="s">
        <v>375</v>
      </c>
      <c r="Q1" s="15" t="s">
        <v>376</v>
      </c>
    </row>
    <row r="2" spans="1:17">
      <c r="A2" s="20">
        <v>1</v>
      </c>
      <c r="B2" s="20">
        <v>3</v>
      </c>
      <c r="C2" s="20">
        <v>0</v>
      </c>
      <c r="D2" s="20">
        <v>0</v>
      </c>
      <c r="E2" s="20">
        <v>0</v>
      </c>
      <c r="F2" s="20">
        <v>3</v>
      </c>
      <c r="G2" s="20">
        <v>2</v>
      </c>
      <c r="H2" s="20">
        <f t="shared" ref="H2:H82" si="0">B2+F2</f>
        <v>6</v>
      </c>
      <c r="I2" s="20">
        <f t="shared" ref="I2:I82" si="1">C2+G2</f>
        <v>2</v>
      </c>
      <c r="J2" s="20">
        <f t="shared" ref="J2:K4" si="2">D2</f>
        <v>0</v>
      </c>
      <c r="K2" s="20">
        <f t="shared" si="2"/>
        <v>0</v>
      </c>
      <c r="L2" s="20" t="s">
        <v>6</v>
      </c>
      <c r="M2" s="20" t="s">
        <v>226</v>
      </c>
      <c r="N2" s="20"/>
      <c r="O2" s="20" t="s">
        <v>117</v>
      </c>
      <c r="P2" t="s">
        <v>257</v>
      </c>
      <c r="Q2" s="30" t="s">
        <v>290</v>
      </c>
    </row>
    <row r="3" spans="1:17">
      <c r="A3" s="20">
        <v>1</v>
      </c>
      <c r="B3" s="20">
        <v>3</v>
      </c>
      <c r="C3" s="20">
        <v>0</v>
      </c>
      <c r="D3" s="20">
        <v>0</v>
      </c>
      <c r="E3" s="20">
        <v>0</v>
      </c>
      <c r="F3" s="20">
        <v>3</v>
      </c>
      <c r="G3" s="20">
        <v>2</v>
      </c>
      <c r="H3" s="20">
        <f t="shared" si="0"/>
        <v>6</v>
      </c>
      <c r="I3" s="20">
        <f t="shared" si="1"/>
        <v>2</v>
      </c>
      <c r="J3" s="20">
        <f t="shared" si="2"/>
        <v>0</v>
      </c>
      <c r="K3" s="20">
        <f t="shared" si="2"/>
        <v>0</v>
      </c>
      <c r="L3" s="20" t="s">
        <v>7</v>
      </c>
      <c r="M3" s="20" t="s">
        <v>226</v>
      </c>
      <c r="N3" s="20"/>
      <c r="O3" s="20"/>
      <c r="P3" t="s">
        <v>257</v>
      </c>
      <c r="Q3" s="36" t="s">
        <v>291</v>
      </c>
    </row>
    <row r="4" spans="1:17">
      <c r="A4" s="20">
        <v>1</v>
      </c>
      <c r="B4" s="20">
        <v>3</v>
      </c>
      <c r="C4" s="20">
        <v>0</v>
      </c>
      <c r="D4" s="20">
        <v>0</v>
      </c>
      <c r="E4" s="20">
        <v>0</v>
      </c>
      <c r="F4" s="20">
        <v>3</v>
      </c>
      <c r="G4" s="20">
        <v>2</v>
      </c>
      <c r="H4" s="20">
        <f t="shared" si="0"/>
        <v>6</v>
      </c>
      <c r="I4" s="20">
        <f t="shared" si="1"/>
        <v>2</v>
      </c>
      <c r="J4" s="20">
        <f t="shared" si="2"/>
        <v>0</v>
      </c>
      <c r="K4" s="20">
        <f t="shared" si="2"/>
        <v>0</v>
      </c>
      <c r="L4" s="20" t="s">
        <v>131</v>
      </c>
      <c r="M4" s="20" t="s">
        <v>226</v>
      </c>
      <c r="N4" s="20"/>
      <c r="O4" s="20"/>
      <c r="P4" t="s">
        <v>257</v>
      </c>
      <c r="Q4" s="36" t="s">
        <v>292</v>
      </c>
    </row>
    <row r="5" spans="1:17">
      <c r="A5" s="20">
        <v>1</v>
      </c>
      <c r="B5" s="20">
        <v>3</v>
      </c>
      <c r="C5" s="20">
        <v>0</v>
      </c>
      <c r="D5" s="20">
        <v>0</v>
      </c>
      <c r="E5" s="20">
        <v>0</v>
      </c>
      <c r="F5" s="20">
        <v>3</v>
      </c>
      <c r="G5" s="20">
        <v>2</v>
      </c>
      <c r="H5" s="20">
        <f t="shared" ref="H5:H7" si="3">B5+F5</f>
        <v>6</v>
      </c>
      <c r="I5" s="20">
        <f t="shared" ref="I5:I7" si="4">C5+G5</f>
        <v>2</v>
      </c>
      <c r="J5" s="20">
        <f t="shared" ref="J5:J7" si="5">D5</f>
        <v>0</v>
      </c>
      <c r="K5" s="20">
        <f t="shared" ref="K5:K7" si="6">E5</f>
        <v>0</v>
      </c>
      <c r="L5" s="20"/>
      <c r="M5" s="20" t="s">
        <v>226</v>
      </c>
      <c r="N5" s="20" t="s">
        <v>275</v>
      </c>
      <c r="O5" s="20"/>
      <c r="P5" t="s">
        <v>257</v>
      </c>
      <c r="Q5" s="30" t="s">
        <v>265</v>
      </c>
    </row>
    <row r="6" spans="1:17">
      <c r="A6" s="20">
        <v>1</v>
      </c>
      <c r="B6" s="20">
        <v>3</v>
      </c>
      <c r="C6" s="20">
        <v>0</v>
      </c>
      <c r="D6" s="20">
        <v>0</v>
      </c>
      <c r="E6" s="20">
        <v>0</v>
      </c>
      <c r="F6" s="20">
        <v>3</v>
      </c>
      <c r="G6" s="20">
        <v>2</v>
      </c>
      <c r="H6" s="20">
        <f t="shared" si="3"/>
        <v>6</v>
      </c>
      <c r="I6" s="20">
        <f t="shared" si="4"/>
        <v>2</v>
      </c>
      <c r="J6" s="20">
        <f t="shared" si="5"/>
        <v>0</v>
      </c>
      <c r="K6" s="20">
        <f t="shared" si="6"/>
        <v>0</v>
      </c>
      <c r="L6" s="20"/>
      <c r="M6" s="20" t="s">
        <v>226</v>
      </c>
      <c r="N6" s="20" t="s">
        <v>275</v>
      </c>
      <c r="O6" s="20"/>
      <c r="P6" t="s">
        <v>257</v>
      </c>
      <c r="Q6" s="36" t="s">
        <v>266</v>
      </c>
    </row>
    <row r="7" spans="1:17">
      <c r="A7" s="20">
        <v>1</v>
      </c>
      <c r="B7" s="20">
        <v>3</v>
      </c>
      <c r="C7" s="20">
        <v>0</v>
      </c>
      <c r="D7" s="20">
        <v>0</v>
      </c>
      <c r="E7" s="20">
        <v>0</v>
      </c>
      <c r="F7" s="20">
        <v>3</v>
      </c>
      <c r="G7" s="20">
        <v>2</v>
      </c>
      <c r="H7" s="20">
        <f t="shared" si="3"/>
        <v>6</v>
      </c>
      <c r="I7" s="20">
        <f t="shared" si="4"/>
        <v>2</v>
      </c>
      <c r="J7" s="20">
        <f t="shared" si="5"/>
        <v>0</v>
      </c>
      <c r="K7" s="20">
        <f t="shared" si="6"/>
        <v>0</v>
      </c>
      <c r="L7" s="20"/>
      <c r="M7" s="20" t="s">
        <v>226</v>
      </c>
      <c r="N7" s="20" t="s">
        <v>275</v>
      </c>
      <c r="O7" s="20"/>
      <c r="P7" t="s">
        <v>257</v>
      </c>
      <c r="Q7" s="36" t="s">
        <v>267</v>
      </c>
    </row>
    <row r="8" spans="1:17">
      <c r="A8" s="20" t="s">
        <v>130</v>
      </c>
      <c r="B8" s="20">
        <v>4</v>
      </c>
      <c r="C8" s="20">
        <v>0</v>
      </c>
      <c r="D8" s="20">
        <v>0</v>
      </c>
      <c r="E8" s="20">
        <v>0</v>
      </c>
      <c r="F8" s="20">
        <v>3</v>
      </c>
      <c r="G8" s="20">
        <v>2</v>
      </c>
      <c r="H8" s="20">
        <f t="shared" si="0"/>
        <v>7</v>
      </c>
      <c r="I8" s="20">
        <f t="shared" si="1"/>
        <v>2</v>
      </c>
      <c r="J8" s="20">
        <f t="shared" ref="J8:J82" si="7">D8</f>
        <v>0</v>
      </c>
      <c r="K8" s="20">
        <f t="shared" ref="K8:K102" si="8">E8</f>
        <v>0</v>
      </c>
      <c r="L8" s="21" t="s">
        <v>3</v>
      </c>
      <c r="M8" s="20" t="s">
        <v>226</v>
      </c>
      <c r="N8" s="20"/>
      <c r="O8" s="20"/>
      <c r="P8" t="s">
        <v>257</v>
      </c>
      <c r="Q8" s="30" t="s">
        <v>293</v>
      </c>
    </row>
    <row r="9" spans="1:17">
      <c r="A9" s="20" t="s">
        <v>130</v>
      </c>
      <c r="B9" s="20">
        <v>4</v>
      </c>
      <c r="C9" s="20">
        <v>0</v>
      </c>
      <c r="D9" s="20">
        <v>0</v>
      </c>
      <c r="E9" s="20">
        <v>0</v>
      </c>
      <c r="F9" s="20">
        <v>3</v>
      </c>
      <c r="G9" s="20">
        <v>2</v>
      </c>
      <c r="H9" s="20">
        <f t="shared" si="0"/>
        <v>7</v>
      </c>
      <c r="I9" s="20">
        <f t="shared" si="1"/>
        <v>2</v>
      </c>
      <c r="J9" s="20">
        <f t="shared" si="7"/>
        <v>0</v>
      </c>
      <c r="K9" s="20">
        <f t="shared" ref="K9:K11" si="9">E9</f>
        <v>0</v>
      </c>
      <c r="L9" s="20" t="s">
        <v>241</v>
      </c>
      <c r="M9" s="20" t="s">
        <v>226</v>
      </c>
      <c r="N9" s="20"/>
      <c r="O9" s="20"/>
      <c r="P9" t="s">
        <v>257</v>
      </c>
      <c r="Q9" s="36" t="s">
        <v>294</v>
      </c>
    </row>
    <row r="10" spans="1:17">
      <c r="A10" s="20" t="s">
        <v>130</v>
      </c>
      <c r="B10" s="20">
        <v>4</v>
      </c>
      <c r="C10" s="20">
        <v>0</v>
      </c>
      <c r="D10" s="20">
        <v>0</v>
      </c>
      <c r="E10" s="20">
        <v>0</v>
      </c>
      <c r="F10" s="20">
        <v>3</v>
      </c>
      <c r="G10" s="20">
        <v>2</v>
      </c>
      <c r="H10" s="20">
        <f t="shared" si="0"/>
        <v>7</v>
      </c>
      <c r="I10" s="20">
        <f t="shared" si="1"/>
        <v>2</v>
      </c>
      <c r="J10" s="20">
        <f t="shared" si="7"/>
        <v>0</v>
      </c>
      <c r="K10" s="20">
        <f t="shared" si="9"/>
        <v>0</v>
      </c>
      <c r="L10" s="22" t="s">
        <v>243</v>
      </c>
      <c r="M10" s="20" t="s">
        <v>226</v>
      </c>
      <c r="N10" s="20"/>
      <c r="O10" s="20"/>
      <c r="P10" t="s">
        <v>257</v>
      </c>
      <c r="Q10" s="36" t="s">
        <v>295</v>
      </c>
    </row>
    <row r="11" spans="1:17">
      <c r="A11" s="20" t="s">
        <v>130</v>
      </c>
      <c r="B11" s="20">
        <v>4</v>
      </c>
      <c r="C11" s="20">
        <v>0</v>
      </c>
      <c r="D11" s="20">
        <v>0</v>
      </c>
      <c r="E11" s="20">
        <v>0</v>
      </c>
      <c r="F11" s="20">
        <v>3</v>
      </c>
      <c r="G11" s="20">
        <v>2</v>
      </c>
      <c r="H11" s="20">
        <f t="shared" si="0"/>
        <v>7</v>
      </c>
      <c r="I11" s="20">
        <f t="shared" si="1"/>
        <v>2</v>
      </c>
      <c r="J11" s="20">
        <f t="shared" si="7"/>
        <v>0</v>
      </c>
      <c r="K11" s="20">
        <f t="shared" si="9"/>
        <v>0</v>
      </c>
      <c r="L11" s="23" t="s">
        <v>242</v>
      </c>
      <c r="M11" s="20" t="s">
        <v>226</v>
      </c>
      <c r="N11" s="20"/>
      <c r="O11" s="20"/>
      <c r="P11" t="s">
        <v>257</v>
      </c>
      <c r="Q11" s="36" t="s">
        <v>296</v>
      </c>
    </row>
    <row r="12" spans="1:17">
      <c r="A12" s="20" t="s">
        <v>130</v>
      </c>
      <c r="B12" s="20">
        <v>4</v>
      </c>
      <c r="C12" s="20">
        <v>0</v>
      </c>
      <c r="D12" s="20">
        <v>0</v>
      </c>
      <c r="E12" s="20">
        <v>0</v>
      </c>
      <c r="F12" s="20">
        <v>3</v>
      </c>
      <c r="G12" s="20">
        <v>2</v>
      </c>
      <c r="H12" s="20">
        <f t="shared" ref="H12:H18" si="10">B12+F12</f>
        <v>7</v>
      </c>
      <c r="I12" s="20">
        <f t="shared" ref="I12:I18" si="11">C12+G12</f>
        <v>2</v>
      </c>
      <c r="J12" s="20">
        <f t="shared" ref="J12:J18" si="12">D12</f>
        <v>0</v>
      </c>
      <c r="K12" s="20">
        <f t="shared" ref="K12:K18" si="13">E12</f>
        <v>0</v>
      </c>
      <c r="L12" s="23"/>
      <c r="M12" s="20" t="s">
        <v>226</v>
      </c>
      <c r="N12" s="20"/>
      <c r="O12" s="20"/>
      <c r="P12" t="s">
        <v>257</v>
      </c>
      <c r="Q12" s="36" t="s">
        <v>297</v>
      </c>
    </row>
    <row r="13" spans="1:17">
      <c r="A13" s="20" t="s">
        <v>130</v>
      </c>
      <c r="B13" s="20">
        <v>4</v>
      </c>
      <c r="C13" s="20">
        <v>0</v>
      </c>
      <c r="D13" s="20">
        <v>0</v>
      </c>
      <c r="E13" s="20">
        <v>0</v>
      </c>
      <c r="F13" s="20">
        <v>3</v>
      </c>
      <c r="G13" s="20">
        <v>2</v>
      </c>
      <c r="H13" s="20">
        <f t="shared" si="10"/>
        <v>7</v>
      </c>
      <c r="I13" s="20">
        <f t="shared" si="11"/>
        <v>2</v>
      </c>
      <c r="J13" s="20">
        <f t="shared" si="12"/>
        <v>0</v>
      </c>
      <c r="K13" s="20">
        <f t="shared" si="13"/>
        <v>0</v>
      </c>
      <c r="L13" s="23"/>
      <c r="M13" s="20" t="s">
        <v>226</v>
      </c>
      <c r="N13" s="20"/>
      <c r="O13" s="20"/>
      <c r="P13" t="s">
        <v>257</v>
      </c>
      <c r="Q13" s="36" t="s">
        <v>298</v>
      </c>
    </row>
    <row r="14" spans="1:17">
      <c r="A14" s="20" t="s">
        <v>130</v>
      </c>
      <c r="B14" s="20">
        <v>4</v>
      </c>
      <c r="C14" s="20">
        <v>0</v>
      </c>
      <c r="D14" s="20">
        <v>0</v>
      </c>
      <c r="E14" s="20">
        <v>0</v>
      </c>
      <c r="F14" s="20">
        <v>3</v>
      </c>
      <c r="G14" s="20">
        <v>2</v>
      </c>
      <c r="H14" s="20">
        <f t="shared" si="10"/>
        <v>7</v>
      </c>
      <c r="I14" s="20">
        <f t="shared" si="11"/>
        <v>2</v>
      </c>
      <c r="J14" s="20">
        <f t="shared" si="12"/>
        <v>0</v>
      </c>
      <c r="K14" s="20">
        <f t="shared" si="13"/>
        <v>0</v>
      </c>
      <c r="L14" s="23"/>
      <c r="M14" s="20" t="s">
        <v>226</v>
      </c>
      <c r="N14" s="20"/>
      <c r="O14" s="20"/>
      <c r="P14" t="s">
        <v>257</v>
      </c>
      <c r="Q14" s="36" t="s">
        <v>299</v>
      </c>
    </row>
    <row r="15" spans="1:17">
      <c r="A15" s="20" t="s">
        <v>130</v>
      </c>
      <c r="B15" s="20">
        <v>4</v>
      </c>
      <c r="C15" s="20">
        <v>0</v>
      </c>
      <c r="D15" s="20">
        <v>0</v>
      </c>
      <c r="E15" s="20">
        <v>0</v>
      </c>
      <c r="F15" s="20">
        <v>3</v>
      </c>
      <c r="G15" s="20">
        <v>2</v>
      </c>
      <c r="H15" s="20">
        <f t="shared" si="10"/>
        <v>7</v>
      </c>
      <c r="I15" s="20">
        <f t="shared" si="11"/>
        <v>2</v>
      </c>
      <c r="J15" s="20">
        <f t="shared" si="12"/>
        <v>0</v>
      </c>
      <c r="K15" s="20">
        <f t="shared" si="13"/>
        <v>0</v>
      </c>
      <c r="L15" s="23"/>
      <c r="M15" s="20" t="s">
        <v>226</v>
      </c>
      <c r="N15" s="20"/>
      <c r="O15" s="20"/>
      <c r="P15" t="s">
        <v>257</v>
      </c>
      <c r="Q15" s="36" t="s">
        <v>300</v>
      </c>
    </row>
    <row r="16" spans="1:17">
      <c r="A16" s="20" t="s">
        <v>130</v>
      </c>
      <c r="B16" s="20">
        <v>4</v>
      </c>
      <c r="C16" s="20">
        <v>0</v>
      </c>
      <c r="D16" s="20">
        <v>0</v>
      </c>
      <c r="E16" s="20">
        <v>0</v>
      </c>
      <c r="F16" s="20">
        <v>3</v>
      </c>
      <c r="G16" s="20">
        <v>2</v>
      </c>
      <c r="H16" s="20">
        <f t="shared" si="10"/>
        <v>7</v>
      </c>
      <c r="I16" s="20">
        <f t="shared" si="11"/>
        <v>2</v>
      </c>
      <c r="J16" s="20">
        <f t="shared" si="12"/>
        <v>0</v>
      </c>
      <c r="K16" s="20">
        <f t="shared" si="13"/>
        <v>0</v>
      </c>
      <c r="L16" s="23"/>
      <c r="M16" s="20" t="s">
        <v>226</v>
      </c>
      <c r="N16" s="20"/>
      <c r="O16" s="20"/>
      <c r="P16" t="s">
        <v>257</v>
      </c>
      <c r="Q16" s="36" t="s">
        <v>301</v>
      </c>
    </row>
    <row r="17" spans="1:31">
      <c r="A17" s="20" t="s">
        <v>130</v>
      </c>
      <c r="B17" s="20">
        <v>4</v>
      </c>
      <c r="C17" s="20">
        <v>0</v>
      </c>
      <c r="D17" s="20">
        <v>0</v>
      </c>
      <c r="E17" s="20">
        <v>0</v>
      </c>
      <c r="F17" s="20">
        <v>3</v>
      </c>
      <c r="G17" s="20">
        <v>2</v>
      </c>
      <c r="H17" s="20">
        <f t="shared" si="10"/>
        <v>7</v>
      </c>
      <c r="I17" s="20">
        <f t="shared" si="11"/>
        <v>2</v>
      </c>
      <c r="J17" s="20">
        <f t="shared" si="12"/>
        <v>0</v>
      </c>
      <c r="K17" s="20">
        <f t="shared" si="13"/>
        <v>0</v>
      </c>
      <c r="L17" s="23"/>
      <c r="M17" s="20" t="s">
        <v>226</v>
      </c>
      <c r="N17" s="20"/>
      <c r="O17" s="20"/>
      <c r="P17" t="s">
        <v>257</v>
      </c>
      <c r="Q17" s="36" t="s">
        <v>302</v>
      </c>
    </row>
    <row r="18" spans="1:31">
      <c r="A18" s="20" t="s">
        <v>130</v>
      </c>
      <c r="B18" s="20">
        <v>4</v>
      </c>
      <c r="C18" s="20">
        <v>0</v>
      </c>
      <c r="D18" s="20">
        <v>0</v>
      </c>
      <c r="E18" s="20">
        <v>0</v>
      </c>
      <c r="F18" s="20">
        <v>3</v>
      </c>
      <c r="G18" s="20">
        <v>2</v>
      </c>
      <c r="H18" s="20">
        <f t="shared" si="10"/>
        <v>7</v>
      </c>
      <c r="I18" s="20">
        <f t="shared" si="11"/>
        <v>2</v>
      </c>
      <c r="J18" s="20">
        <f t="shared" si="12"/>
        <v>0</v>
      </c>
      <c r="K18" s="20">
        <f t="shared" si="13"/>
        <v>0</v>
      </c>
      <c r="L18" s="23"/>
      <c r="M18" s="20" t="s">
        <v>226</v>
      </c>
      <c r="N18" s="20"/>
      <c r="O18" s="20"/>
      <c r="P18" t="s">
        <v>257</v>
      </c>
      <c r="Q18" s="36" t="s">
        <v>303</v>
      </c>
    </row>
    <row r="19" spans="1:31">
      <c r="A19" s="20">
        <v>3</v>
      </c>
      <c r="B19" s="20">
        <v>5</v>
      </c>
      <c r="C19" s="20">
        <v>0</v>
      </c>
      <c r="D19" s="20">
        <v>0</v>
      </c>
      <c r="E19" s="20">
        <v>0</v>
      </c>
      <c r="F19" s="20">
        <v>3</v>
      </c>
      <c r="G19" s="20">
        <v>2</v>
      </c>
      <c r="H19" s="20">
        <f t="shared" si="0"/>
        <v>8</v>
      </c>
      <c r="I19" s="20">
        <f t="shared" si="1"/>
        <v>2</v>
      </c>
      <c r="J19" s="20">
        <f t="shared" si="7"/>
        <v>0</v>
      </c>
      <c r="K19" s="20">
        <f t="shared" si="8"/>
        <v>0</v>
      </c>
      <c r="L19" s="23" t="s">
        <v>244</v>
      </c>
      <c r="M19" s="20" t="s">
        <v>226</v>
      </c>
      <c r="N19" s="20"/>
      <c r="O19" s="20"/>
      <c r="P19" t="s">
        <v>257</v>
      </c>
      <c r="Q19" s="30" t="s">
        <v>304</v>
      </c>
    </row>
    <row r="20" spans="1:31">
      <c r="A20" s="20">
        <v>3</v>
      </c>
      <c r="B20" s="20">
        <v>5</v>
      </c>
      <c r="C20" s="20">
        <v>0</v>
      </c>
      <c r="D20" s="20">
        <v>0</v>
      </c>
      <c r="E20" s="20">
        <v>0</v>
      </c>
      <c r="F20" s="20">
        <v>3</v>
      </c>
      <c r="G20" s="20">
        <v>2</v>
      </c>
      <c r="H20" s="20">
        <f t="shared" si="0"/>
        <v>8</v>
      </c>
      <c r="I20" s="20">
        <f t="shared" si="1"/>
        <v>2</v>
      </c>
      <c r="J20" s="20">
        <f t="shared" si="7"/>
        <v>0</v>
      </c>
      <c r="K20" s="20">
        <f t="shared" ref="K20" si="14">E20</f>
        <v>0</v>
      </c>
      <c r="L20" s="23" t="s">
        <v>9</v>
      </c>
      <c r="M20" s="20" t="s">
        <v>226</v>
      </c>
      <c r="N20" s="20"/>
      <c r="O20" s="20"/>
      <c r="P20" t="s">
        <v>257</v>
      </c>
      <c r="Q20" s="36" t="s">
        <v>305</v>
      </c>
    </row>
    <row r="21" spans="1:31">
      <c r="A21" s="20">
        <v>3</v>
      </c>
      <c r="B21" s="20">
        <v>5</v>
      </c>
      <c r="C21" s="20">
        <v>0</v>
      </c>
      <c r="D21" s="20">
        <v>0</v>
      </c>
      <c r="E21" s="20">
        <v>0</v>
      </c>
      <c r="F21" s="20">
        <v>3</v>
      </c>
      <c r="G21" s="20">
        <v>2</v>
      </c>
      <c r="H21" s="20">
        <f t="shared" ref="H21:H28" si="15">B21+F21</f>
        <v>8</v>
      </c>
      <c r="I21" s="20">
        <f t="shared" ref="I21:I28" si="16">C21+G21</f>
        <v>2</v>
      </c>
      <c r="J21" s="20">
        <f t="shared" ref="J21:J28" si="17">D21</f>
        <v>0</v>
      </c>
      <c r="K21" s="20">
        <f t="shared" ref="K21:K28" si="18">E21</f>
        <v>0</v>
      </c>
      <c r="L21" s="23"/>
      <c r="M21" s="20" t="s">
        <v>226</v>
      </c>
      <c r="N21" s="20"/>
      <c r="O21" s="20"/>
      <c r="P21" t="s">
        <v>257</v>
      </c>
      <c r="Q21" s="36" t="s">
        <v>306</v>
      </c>
    </row>
    <row r="22" spans="1:31">
      <c r="A22" s="20">
        <v>3</v>
      </c>
      <c r="B22" s="20">
        <v>5</v>
      </c>
      <c r="C22" s="20">
        <v>0</v>
      </c>
      <c r="D22" s="20">
        <v>0</v>
      </c>
      <c r="E22" s="20">
        <v>0</v>
      </c>
      <c r="F22" s="20">
        <v>3</v>
      </c>
      <c r="G22" s="20">
        <v>2</v>
      </c>
      <c r="H22" s="20">
        <f t="shared" si="15"/>
        <v>8</v>
      </c>
      <c r="I22" s="20">
        <f t="shared" si="16"/>
        <v>2</v>
      </c>
      <c r="J22" s="20">
        <f t="shared" si="17"/>
        <v>0</v>
      </c>
      <c r="K22" s="20">
        <f t="shared" si="18"/>
        <v>0</v>
      </c>
      <c r="L22" s="23"/>
      <c r="M22" s="20" t="s">
        <v>226</v>
      </c>
      <c r="N22" s="20"/>
      <c r="O22" s="20"/>
      <c r="P22" t="s">
        <v>257</v>
      </c>
      <c r="Q22" s="36" t="s">
        <v>307</v>
      </c>
    </row>
    <row r="23" spans="1:31">
      <c r="A23" s="20">
        <v>3</v>
      </c>
      <c r="B23" s="20">
        <v>5</v>
      </c>
      <c r="C23" s="20">
        <v>0</v>
      </c>
      <c r="D23" s="20">
        <v>0</v>
      </c>
      <c r="E23" s="20">
        <v>0</v>
      </c>
      <c r="F23" s="20">
        <v>3</v>
      </c>
      <c r="G23" s="20">
        <v>2</v>
      </c>
      <c r="H23" s="20">
        <f t="shared" si="15"/>
        <v>8</v>
      </c>
      <c r="I23" s="20">
        <f t="shared" si="16"/>
        <v>2</v>
      </c>
      <c r="J23" s="20">
        <f t="shared" si="17"/>
        <v>0</v>
      </c>
      <c r="K23" s="20">
        <f t="shared" si="18"/>
        <v>0</v>
      </c>
      <c r="L23" s="23"/>
      <c r="M23" s="20" t="s">
        <v>226</v>
      </c>
      <c r="N23" s="20"/>
      <c r="O23" s="20"/>
      <c r="P23" t="s">
        <v>257</v>
      </c>
      <c r="Q23" s="36" t="s">
        <v>308</v>
      </c>
    </row>
    <row r="24" spans="1:31">
      <c r="A24" s="20">
        <v>3</v>
      </c>
      <c r="B24" s="20">
        <v>5</v>
      </c>
      <c r="C24" s="20">
        <v>0</v>
      </c>
      <c r="D24" s="20">
        <v>0</v>
      </c>
      <c r="E24" s="20">
        <v>0</v>
      </c>
      <c r="F24" s="20">
        <v>3</v>
      </c>
      <c r="G24" s="20">
        <v>2</v>
      </c>
      <c r="H24" s="20">
        <f t="shared" si="15"/>
        <v>8</v>
      </c>
      <c r="I24" s="20">
        <f t="shared" si="16"/>
        <v>2</v>
      </c>
      <c r="J24" s="20">
        <f t="shared" si="17"/>
        <v>0</v>
      </c>
      <c r="K24" s="20">
        <f t="shared" si="18"/>
        <v>0</v>
      </c>
      <c r="L24" s="23"/>
      <c r="M24" s="20" t="s">
        <v>226</v>
      </c>
      <c r="N24" s="20"/>
      <c r="O24" s="20"/>
      <c r="P24" t="s">
        <v>257</v>
      </c>
      <c r="Q24" s="36" t="s">
        <v>309</v>
      </c>
    </row>
    <row r="25" spans="1:31">
      <c r="A25" s="20">
        <v>3</v>
      </c>
      <c r="B25" s="20">
        <v>5</v>
      </c>
      <c r="C25" s="20">
        <v>0</v>
      </c>
      <c r="D25" s="20">
        <v>0</v>
      </c>
      <c r="E25" s="20">
        <v>0</v>
      </c>
      <c r="F25" s="20">
        <v>3</v>
      </c>
      <c r="G25" s="20">
        <v>2</v>
      </c>
      <c r="H25" s="20">
        <f t="shared" si="15"/>
        <v>8</v>
      </c>
      <c r="I25" s="20">
        <f t="shared" si="16"/>
        <v>2</v>
      </c>
      <c r="J25" s="20">
        <f t="shared" si="17"/>
        <v>0</v>
      </c>
      <c r="K25" s="20">
        <f t="shared" si="18"/>
        <v>0</v>
      </c>
      <c r="L25" s="23"/>
      <c r="M25" s="20" t="s">
        <v>226</v>
      </c>
      <c r="N25" s="20"/>
      <c r="O25" s="20"/>
      <c r="P25" t="s">
        <v>257</v>
      </c>
      <c r="Q25" s="36" t="s">
        <v>310</v>
      </c>
    </row>
    <row r="26" spans="1:31">
      <c r="A26" s="20">
        <v>3</v>
      </c>
      <c r="B26" s="20">
        <v>5</v>
      </c>
      <c r="C26" s="20">
        <v>0</v>
      </c>
      <c r="D26" s="20">
        <v>0</v>
      </c>
      <c r="E26" s="20">
        <v>0</v>
      </c>
      <c r="F26" s="20">
        <v>3</v>
      </c>
      <c r="G26" s="20">
        <v>2</v>
      </c>
      <c r="H26" s="20">
        <f t="shared" si="15"/>
        <v>8</v>
      </c>
      <c r="I26" s="20">
        <f t="shared" si="16"/>
        <v>2</v>
      </c>
      <c r="J26" s="20">
        <f t="shared" si="17"/>
        <v>0</v>
      </c>
      <c r="K26" s="20">
        <f t="shared" si="18"/>
        <v>0</v>
      </c>
      <c r="L26" s="23"/>
      <c r="M26" s="20" t="s">
        <v>226</v>
      </c>
      <c r="N26" s="20"/>
      <c r="O26" s="20"/>
      <c r="P26" t="s">
        <v>257</v>
      </c>
      <c r="Q26" s="36" t="s">
        <v>311</v>
      </c>
    </row>
    <row r="27" spans="1:31">
      <c r="A27" s="20">
        <v>3</v>
      </c>
      <c r="B27" s="20">
        <v>5</v>
      </c>
      <c r="C27" s="20">
        <v>0</v>
      </c>
      <c r="D27" s="20">
        <v>0</v>
      </c>
      <c r="E27" s="20">
        <v>0</v>
      </c>
      <c r="F27" s="20">
        <v>3</v>
      </c>
      <c r="G27" s="20">
        <v>2</v>
      </c>
      <c r="H27" s="20">
        <f t="shared" si="15"/>
        <v>8</v>
      </c>
      <c r="I27" s="20">
        <f t="shared" si="16"/>
        <v>2</v>
      </c>
      <c r="J27" s="20">
        <f t="shared" si="17"/>
        <v>0</v>
      </c>
      <c r="K27" s="20">
        <f t="shared" si="18"/>
        <v>0</v>
      </c>
      <c r="L27" s="23"/>
      <c r="M27" s="20" t="s">
        <v>226</v>
      </c>
      <c r="N27" s="20"/>
      <c r="O27" s="20"/>
      <c r="P27" t="s">
        <v>257</v>
      </c>
      <c r="Q27" s="36" t="s">
        <v>312</v>
      </c>
    </row>
    <row r="28" spans="1:31">
      <c r="A28" s="20">
        <v>3</v>
      </c>
      <c r="B28" s="20">
        <v>5</v>
      </c>
      <c r="C28" s="20">
        <v>0</v>
      </c>
      <c r="D28" s="20">
        <v>0</v>
      </c>
      <c r="E28" s="20">
        <v>0</v>
      </c>
      <c r="F28" s="20">
        <v>3</v>
      </c>
      <c r="G28" s="20">
        <v>2</v>
      </c>
      <c r="H28" s="20">
        <f t="shared" si="15"/>
        <v>8</v>
      </c>
      <c r="I28" s="20">
        <f t="shared" si="16"/>
        <v>2</v>
      </c>
      <c r="J28" s="20">
        <f t="shared" si="17"/>
        <v>0</v>
      </c>
      <c r="K28" s="20">
        <f t="shared" si="18"/>
        <v>0</v>
      </c>
      <c r="L28" s="23"/>
      <c r="M28" s="20" t="s">
        <v>226</v>
      </c>
      <c r="N28" s="20"/>
      <c r="O28" s="20"/>
      <c r="P28" t="s">
        <v>257</v>
      </c>
      <c r="Q28" s="36" t="s">
        <v>313</v>
      </c>
    </row>
    <row r="29" spans="1:31">
      <c r="A29" s="20">
        <v>4</v>
      </c>
      <c r="B29" s="20">
        <v>6</v>
      </c>
      <c r="C29" s="20">
        <v>0</v>
      </c>
      <c r="D29" s="20">
        <v>0</v>
      </c>
      <c r="E29" s="20">
        <v>0</v>
      </c>
      <c r="F29" s="20">
        <v>3</v>
      </c>
      <c r="G29" s="20">
        <v>2</v>
      </c>
      <c r="H29" s="20">
        <f t="shared" si="0"/>
        <v>9</v>
      </c>
      <c r="I29" s="20">
        <f t="shared" si="1"/>
        <v>2</v>
      </c>
      <c r="J29" s="20">
        <f t="shared" si="7"/>
        <v>0</v>
      </c>
      <c r="K29" s="20">
        <f t="shared" si="8"/>
        <v>0</v>
      </c>
      <c r="L29" s="23" t="s">
        <v>10</v>
      </c>
      <c r="M29" s="20" t="s">
        <v>226</v>
      </c>
      <c r="N29" s="20"/>
      <c r="O29" s="20"/>
      <c r="P29" t="s">
        <v>257</v>
      </c>
      <c r="Q29" s="30" t="s">
        <v>314</v>
      </c>
    </row>
    <row r="30" spans="1:31">
      <c r="A30" s="20">
        <v>4</v>
      </c>
      <c r="B30" s="20">
        <v>6</v>
      </c>
      <c r="C30" s="20">
        <v>0</v>
      </c>
      <c r="D30" s="20">
        <v>0</v>
      </c>
      <c r="E30" s="20">
        <v>0</v>
      </c>
      <c r="F30" s="20">
        <v>3</v>
      </c>
      <c r="G30" s="20">
        <v>2</v>
      </c>
      <c r="H30" s="20">
        <f t="shared" ref="H30:H43" si="19">B30+F30</f>
        <v>9</v>
      </c>
      <c r="I30" s="20">
        <f t="shared" ref="I30:I43" si="20">C30+G30</f>
        <v>2</v>
      </c>
      <c r="J30" s="20">
        <f t="shared" ref="J30:J43" si="21">D30</f>
        <v>0</v>
      </c>
      <c r="K30" s="20">
        <f t="shared" ref="K30:K43" si="22">E30</f>
        <v>0</v>
      </c>
      <c r="L30" s="23"/>
      <c r="M30" s="20" t="s">
        <v>226</v>
      </c>
      <c r="N30" s="20"/>
      <c r="O30" s="20"/>
      <c r="P30" t="s">
        <v>257</v>
      </c>
      <c r="Q30" s="36" t="s">
        <v>315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>
      <c r="A31" s="20">
        <v>4</v>
      </c>
      <c r="B31" s="20">
        <v>6</v>
      </c>
      <c r="C31" s="20">
        <v>0</v>
      </c>
      <c r="D31" s="20">
        <v>0</v>
      </c>
      <c r="E31" s="20">
        <v>0</v>
      </c>
      <c r="F31" s="20">
        <v>3</v>
      </c>
      <c r="G31" s="20">
        <v>2</v>
      </c>
      <c r="H31" s="20">
        <f t="shared" si="19"/>
        <v>9</v>
      </c>
      <c r="I31" s="20">
        <f t="shared" si="20"/>
        <v>2</v>
      </c>
      <c r="J31" s="20">
        <f t="shared" si="21"/>
        <v>0</v>
      </c>
      <c r="K31" s="20">
        <f t="shared" si="22"/>
        <v>0</v>
      </c>
      <c r="L31" s="23"/>
      <c r="M31" s="20" t="s">
        <v>226</v>
      </c>
      <c r="N31" s="20"/>
      <c r="O31" s="20"/>
      <c r="P31" t="s">
        <v>257</v>
      </c>
      <c r="Q31" s="36" t="s">
        <v>316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>
      <c r="A32" s="20">
        <v>4</v>
      </c>
      <c r="B32" s="20">
        <v>6</v>
      </c>
      <c r="C32" s="20">
        <v>0</v>
      </c>
      <c r="D32" s="20">
        <v>0</v>
      </c>
      <c r="E32" s="20">
        <v>0</v>
      </c>
      <c r="F32" s="20">
        <v>3</v>
      </c>
      <c r="G32" s="20">
        <v>2</v>
      </c>
      <c r="H32" s="20">
        <f t="shared" si="19"/>
        <v>9</v>
      </c>
      <c r="I32" s="20">
        <f t="shared" si="20"/>
        <v>2</v>
      </c>
      <c r="J32" s="20">
        <f t="shared" si="21"/>
        <v>0</v>
      </c>
      <c r="K32" s="20">
        <f t="shared" si="22"/>
        <v>0</v>
      </c>
      <c r="L32" s="23"/>
      <c r="M32" s="20" t="s">
        <v>226</v>
      </c>
      <c r="N32" s="20"/>
      <c r="O32" s="20"/>
      <c r="P32" t="s">
        <v>257</v>
      </c>
      <c r="Q32" s="36" t="s">
        <v>317</v>
      </c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>
      <c r="A33" s="20">
        <v>4</v>
      </c>
      <c r="B33" s="20">
        <v>6</v>
      </c>
      <c r="C33" s="20">
        <v>0</v>
      </c>
      <c r="D33" s="20">
        <v>0</v>
      </c>
      <c r="E33" s="20">
        <v>0</v>
      </c>
      <c r="F33" s="20">
        <v>3</v>
      </c>
      <c r="G33" s="20">
        <v>2</v>
      </c>
      <c r="H33" s="20">
        <f t="shared" si="19"/>
        <v>9</v>
      </c>
      <c r="I33" s="20">
        <f t="shared" si="20"/>
        <v>2</v>
      </c>
      <c r="J33" s="20">
        <f t="shared" si="21"/>
        <v>0</v>
      </c>
      <c r="K33" s="20">
        <f t="shared" si="22"/>
        <v>0</v>
      </c>
      <c r="L33" s="23"/>
      <c r="M33" s="20" t="s">
        <v>226</v>
      </c>
      <c r="N33" s="20"/>
      <c r="O33" s="20"/>
      <c r="P33" t="s">
        <v>257</v>
      </c>
      <c r="Q33" s="36" t="s">
        <v>318</v>
      </c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20">
        <v>4</v>
      </c>
      <c r="B34" s="20">
        <v>6</v>
      </c>
      <c r="C34" s="20">
        <v>0</v>
      </c>
      <c r="D34" s="20">
        <v>0</v>
      </c>
      <c r="E34" s="20">
        <v>0</v>
      </c>
      <c r="F34" s="20">
        <v>3</v>
      </c>
      <c r="G34" s="20">
        <v>2</v>
      </c>
      <c r="H34" s="20">
        <f t="shared" si="19"/>
        <v>9</v>
      </c>
      <c r="I34" s="20">
        <f t="shared" si="20"/>
        <v>2</v>
      </c>
      <c r="J34" s="20">
        <f t="shared" si="21"/>
        <v>0</v>
      </c>
      <c r="K34" s="20">
        <f t="shared" si="22"/>
        <v>0</v>
      </c>
      <c r="L34" s="23"/>
      <c r="M34" s="20" t="s">
        <v>226</v>
      </c>
      <c r="N34" s="20"/>
      <c r="O34" s="20"/>
      <c r="P34" t="s">
        <v>257</v>
      </c>
      <c r="Q34" s="36" t="s">
        <v>319</v>
      </c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</row>
    <row r="35" spans="1:31">
      <c r="A35" s="20">
        <v>4</v>
      </c>
      <c r="B35" s="20">
        <v>6</v>
      </c>
      <c r="C35" s="20">
        <v>0</v>
      </c>
      <c r="D35" s="20">
        <v>0</v>
      </c>
      <c r="E35" s="20">
        <v>0</v>
      </c>
      <c r="F35" s="20">
        <v>3</v>
      </c>
      <c r="G35" s="20">
        <v>2</v>
      </c>
      <c r="H35" s="20">
        <f t="shared" si="19"/>
        <v>9</v>
      </c>
      <c r="I35" s="20">
        <f t="shared" si="20"/>
        <v>2</v>
      </c>
      <c r="J35" s="20">
        <f t="shared" si="21"/>
        <v>0</v>
      </c>
      <c r="K35" s="20">
        <f t="shared" si="22"/>
        <v>0</v>
      </c>
      <c r="L35" s="23"/>
      <c r="M35" s="20" t="s">
        <v>226</v>
      </c>
      <c r="N35" s="20"/>
      <c r="O35" s="20"/>
      <c r="P35" t="s">
        <v>257</v>
      </c>
      <c r="Q35" s="36" t="s">
        <v>320</v>
      </c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20">
        <v>4</v>
      </c>
      <c r="B36" s="20">
        <v>6</v>
      </c>
      <c r="C36" s="20">
        <v>0</v>
      </c>
      <c r="D36" s="20">
        <v>0</v>
      </c>
      <c r="E36" s="20">
        <v>0</v>
      </c>
      <c r="F36" s="20">
        <v>3</v>
      </c>
      <c r="G36" s="20">
        <v>2</v>
      </c>
      <c r="H36" s="20">
        <f t="shared" si="19"/>
        <v>9</v>
      </c>
      <c r="I36" s="20">
        <f t="shared" si="20"/>
        <v>2</v>
      </c>
      <c r="J36" s="20">
        <f t="shared" si="21"/>
        <v>0</v>
      </c>
      <c r="K36" s="20">
        <f t="shared" si="22"/>
        <v>0</v>
      </c>
      <c r="L36" s="23"/>
      <c r="M36" s="20" t="s">
        <v>226</v>
      </c>
      <c r="N36" s="20"/>
      <c r="O36" s="20"/>
      <c r="P36" t="s">
        <v>257</v>
      </c>
      <c r="Q36" s="36" t="s">
        <v>321</v>
      </c>
      <c r="Y36" s="36"/>
      <c r="Z36" s="36"/>
      <c r="AA36" s="36"/>
      <c r="AB36" s="36"/>
      <c r="AC36" s="36"/>
      <c r="AD36" s="36"/>
      <c r="AE36" s="36"/>
    </row>
    <row r="37" spans="1:31">
      <c r="A37" s="20">
        <v>4</v>
      </c>
      <c r="B37" s="20">
        <v>6</v>
      </c>
      <c r="C37" s="20">
        <v>0</v>
      </c>
      <c r="D37" s="20">
        <v>0</v>
      </c>
      <c r="E37" s="20">
        <v>0</v>
      </c>
      <c r="F37" s="20">
        <v>3</v>
      </c>
      <c r="G37" s="20">
        <v>2</v>
      </c>
      <c r="H37" s="20">
        <f t="shared" si="19"/>
        <v>9</v>
      </c>
      <c r="I37" s="20">
        <f t="shared" si="20"/>
        <v>2</v>
      </c>
      <c r="J37" s="20">
        <f t="shared" si="21"/>
        <v>0</v>
      </c>
      <c r="K37" s="20">
        <f t="shared" si="22"/>
        <v>0</v>
      </c>
      <c r="L37" s="23"/>
      <c r="M37" s="20" t="s">
        <v>226</v>
      </c>
      <c r="N37" s="20"/>
      <c r="O37" s="20"/>
      <c r="P37" t="s">
        <v>257</v>
      </c>
      <c r="Q37" s="36" t="s">
        <v>322</v>
      </c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20">
        <v>4</v>
      </c>
      <c r="B38" s="20">
        <v>6</v>
      </c>
      <c r="C38" s="20">
        <v>0</v>
      </c>
      <c r="D38" s="20">
        <v>0</v>
      </c>
      <c r="E38" s="20">
        <v>0</v>
      </c>
      <c r="F38" s="20">
        <v>3</v>
      </c>
      <c r="G38" s="20">
        <v>2</v>
      </c>
      <c r="H38" s="20">
        <f t="shared" si="19"/>
        <v>9</v>
      </c>
      <c r="I38" s="20">
        <f t="shared" si="20"/>
        <v>2</v>
      </c>
      <c r="J38" s="20">
        <f t="shared" si="21"/>
        <v>0</v>
      </c>
      <c r="K38" s="20">
        <f t="shared" si="22"/>
        <v>0</v>
      </c>
      <c r="L38" s="23"/>
      <c r="M38" s="20" t="s">
        <v>226</v>
      </c>
      <c r="N38" s="20"/>
      <c r="O38" s="20"/>
      <c r="P38" t="s">
        <v>257</v>
      </c>
      <c r="Q38" s="36" t="s">
        <v>323</v>
      </c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20">
        <v>4</v>
      </c>
      <c r="B39" s="20">
        <v>6</v>
      </c>
      <c r="C39" s="20">
        <v>0</v>
      </c>
      <c r="D39" s="20">
        <v>0</v>
      </c>
      <c r="E39" s="20">
        <v>0</v>
      </c>
      <c r="F39" s="20">
        <v>3</v>
      </c>
      <c r="G39" s="20">
        <v>2</v>
      </c>
      <c r="H39" s="20">
        <f t="shared" si="19"/>
        <v>9</v>
      </c>
      <c r="I39" s="20">
        <f t="shared" si="20"/>
        <v>2</v>
      </c>
      <c r="J39" s="20">
        <f t="shared" si="21"/>
        <v>0</v>
      </c>
      <c r="K39" s="20">
        <f t="shared" si="22"/>
        <v>0</v>
      </c>
      <c r="L39" s="23"/>
      <c r="M39" s="20" t="s">
        <v>226</v>
      </c>
      <c r="N39" s="20"/>
      <c r="O39" s="20"/>
      <c r="P39" t="s">
        <v>257</v>
      </c>
      <c r="Q39" s="36" t="s">
        <v>324</v>
      </c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20">
        <v>4</v>
      </c>
      <c r="B40" s="20">
        <v>6</v>
      </c>
      <c r="C40" s="20">
        <v>0</v>
      </c>
      <c r="D40" s="20">
        <v>0</v>
      </c>
      <c r="E40" s="20">
        <v>0</v>
      </c>
      <c r="F40" s="20">
        <v>3</v>
      </c>
      <c r="G40" s="20">
        <v>2</v>
      </c>
      <c r="H40" s="20">
        <f t="shared" si="19"/>
        <v>9</v>
      </c>
      <c r="I40" s="20">
        <f t="shared" si="20"/>
        <v>2</v>
      </c>
      <c r="J40" s="20">
        <f t="shared" si="21"/>
        <v>0</v>
      </c>
      <c r="K40" s="20">
        <f t="shared" si="22"/>
        <v>0</v>
      </c>
      <c r="L40" s="23"/>
      <c r="M40" s="20" t="s">
        <v>226</v>
      </c>
      <c r="N40" s="20"/>
      <c r="O40" s="20"/>
      <c r="P40" t="s">
        <v>257</v>
      </c>
      <c r="Q40" s="36" t="s">
        <v>325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>
      <c r="A41" s="20">
        <v>4</v>
      </c>
      <c r="B41" s="20">
        <v>6</v>
      </c>
      <c r="C41" s="20">
        <v>0</v>
      </c>
      <c r="D41" s="20">
        <v>0</v>
      </c>
      <c r="E41" s="20">
        <v>0</v>
      </c>
      <c r="F41" s="20">
        <v>3</v>
      </c>
      <c r="G41" s="20">
        <v>2</v>
      </c>
      <c r="H41" s="20">
        <f t="shared" si="19"/>
        <v>9</v>
      </c>
      <c r="I41" s="20">
        <f t="shared" si="20"/>
        <v>2</v>
      </c>
      <c r="J41" s="20">
        <f t="shared" si="21"/>
        <v>0</v>
      </c>
      <c r="K41" s="20">
        <f t="shared" si="22"/>
        <v>0</v>
      </c>
      <c r="L41" s="23"/>
      <c r="M41" s="20" t="s">
        <v>226</v>
      </c>
      <c r="N41" s="20"/>
      <c r="O41" s="20"/>
      <c r="P41" t="s">
        <v>257</v>
      </c>
      <c r="Q41" s="36" t="s">
        <v>326</v>
      </c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>
      <c r="A42" s="20">
        <v>4</v>
      </c>
      <c r="B42" s="20">
        <v>6</v>
      </c>
      <c r="C42" s="20">
        <v>0</v>
      </c>
      <c r="D42" s="20">
        <v>0</v>
      </c>
      <c r="E42" s="20">
        <v>0</v>
      </c>
      <c r="F42" s="20">
        <v>3</v>
      </c>
      <c r="G42" s="20">
        <v>2</v>
      </c>
      <c r="H42" s="20">
        <f t="shared" si="19"/>
        <v>9</v>
      </c>
      <c r="I42" s="20">
        <f t="shared" si="20"/>
        <v>2</v>
      </c>
      <c r="J42" s="20">
        <f t="shared" si="21"/>
        <v>0</v>
      </c>
      <c r="K42" s="20">
        <f t="shared" si="22"/>
        <v>0</v>
      </c>
      <c r="L42" s="23"/>
      <c r="M42" s="20" t="s">
        <v>226</v>
      </c>
      <c r="N42" s="20"/>
      <c r="O42" s="20"/>
      <c r="P42" t="s">
        <v>257</v>
      </c>
      <c r="Q42" s="36" t="s">
        <v>327</v>
      </c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>
      <c r="A43" s="20">
        <v>4</v>
      </c>
      <c r="B43" s="20">
        <v>6</v>
      </c>
      <c r="C43" s="20">
        <v>0</v>
      </c>
      <c r="D43" s="20">
        <v>0</v>
      </c>
      <c r="E43" s="20">
        <v>0</v>
      </c>
      <c r="F43" s="20">
        <v>3</v>
      </c>
      <c r="G43" s="20">
        <v>2</v>
      </c>
      <c r="H43" s="20">
        <f t="shared" si="19"/>
        <v>9</v>
      </c>
      <c r="I43" s="20">
        <f t="shared" si="20"/>
        <v>2</v>
      </c>
      <c r="J43" s="20">
        <f t="shared" si="21"/>
        <v>0</v>
      </c>
      <c r="K43" s="20">
        <f t="shared" si="22"/>
        <v>0</v>
      </c>
      <c r="L43" s="23"/>
      <c r="M43" s="20" t="s">
        <v>226</v>
      </c>
      <c r="N43" s="20"/>
      <c r="O43" s="20"/>
      <c r="P43" t="s">
        <v>257</v>
      </c>
      <c r="Q43" s="36" t="s">
        <v>328</v>
      </c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>
      <c r="A44" s="20">
        <v>5</v>
      </c>
      <c r="B44" s="20">
        <v>2</v>
      </c>
      <c r="C44" s="20">
        <v>1</v>
      </c>
      <c r="D44" s="20">
        <v>2</v>
      </c>
      <c r="E44" s="20">
        <v>0</v>
      </c>
      <c r="F44" s="20">
        <v>3</v>
      </c>
      <c r="G44" s="20">
        <v>2</v>
      </c>
      <c r="H44" s="20">
        <f t="shared" si="0"/>
        <v>5</v>
      </c>
      <c r="I44" s="20">
        <f t="shared" si="1"/>
        <v>3</v>
      </c>
      <c r="J44" s="20">
        <f t="shared" si="7"/>
        <v>2</v>
      </c>
      <c r="K44" s="20">
        <f t="shared" si="8"/>
        <v>0</v>
      </c>
      <c r="L44" s="23" t="s">
        <v>16</v>
      </c>
      <c r="M44" s="20" t="s">
        <v>227</v>
      </c>
      <c r="N44" s="20"/>
      <c r="O44" s="20" t="s">
        <v>259</v>
      </c>
      <c r="P44" s="31" t="s">
        <v>257</v>
      </c>
      <c r="Q44" s="30" t="s">
        <v>329</v>
      </c>
    </row>
    <row r="45" spans="1:31">
      <c r="A45" s="20">
        <v>5</v>
      </c>
      <c r="B45" s="20">
        <v>2</v>
      </c>
      <c r="C45" s="20">
        <v>1</v>
      </c>
      <c r="D45" s="20">
        <v>2</v>
      </c>
      <c r="E45" s="20">
        <v>0</v>
      </c>
      <c r="F45" s="20">
        <v>3</v>
      </c>
      <c r="G45" s="20">
        <v>2</v>
      </c>
      <c r="H45" s="20">
        <f t="shared" si="0"/>
        <v>5</v>
      </c>
      <c r="I45" s="20">
        <f t="shared" si="1"/>
        <v>3</v>
      </c>
      <c r="J45" s="20">
        <f t="shared" si="7"/>
        <v>2</v>
      </c>
      <c r="K45" s="20">
        <f t="shared" ref="K45" si="23">E45</f>
        <v>0</v>
      </c>
      <c r="L45" s="23" t="s">
        <v>17</v>
      </c>
      <c r="M45" s="20" t="s">
        <v>227</v>
      </c>
      <c r="N45" s="20"/>
      <c r="O45" s="20"/>
      <c r="P45" t="s">
        <v>257</v>
      </c>
      <c r="Q45" s="30" t="s">
        <v>330</v>
      </c>
    </row>
    <row r="46" spans="1:31">
      <c r="A46" s="20">
        <v>6</v>
      </c>
      <c r="B46" s="20">
        <v>3</v>
      </c>
      <c r="C46" s="20">
        <v>1</v>
      </c>
      <c r="D46" s="20">
        <v>2</v>
      </c>
      <c r="E46" s="20">
        <v>0</v>
      </c>
      <c r="F46" s="20">
        <v>3</v>
      </c>
      <c r="G46" s="20">
        <v>2</v>
      </c>
      <c r="H46" s="20">
        <f t="shared" si="0"/>
        <v>6</v>
      </c>
      <c r="I46" s="20">
        <f t="shared" si="1"/>
        <v>3</v>
      </c>
      <c r="J46" s="20">
        <f t="shared" si="7"/>
        <v>2</v>
      </c>
      <c r="K46" s="20">
        <f t="shared" si="8"/>
        <v>0</v>
      </c>
      <c r="L46" s="23"/>
      <c r="M46" s="20" t="s">
        <v>227</v>
      </c>
      <c r="N46" s="20" t="s">
        <v>379</v>
      </c>
      <c r="O46" s="20"/>
      <c r="P46" t="s">
        <v>268</v>
      </c>
    </row>
    <row r="47" spans="1:31">
      <c r="A47" s="20">
        <v>7</v>
      </c>
      <c r="B47" s="20">
        <v>0</v>
      </c>
      <c r="C47" s="20">
        <v>2</v>
      </c>
      <c r="D47" s="20">
        <v>1</v>
      </c>
      <c r="E47" s="20">
        <v>0</v>
      </c>
      <c r="F47" s="20">
        <v>3</v>
      </c>
      <c r="G47" s="20">
        <v>2</v>
      </c>
      <c r="H47" s="20">
        <f t="shared" si="0"/>
        <v>3</v>
      </c>
      <c r="I47" s="20">
        <f t="shared" si="1"/>
        <v>4</v>
      </c>
      <c r="J47" s="20">
        <f t="shared" si="7"/>
        <v>1</v>
      </c>
      <c r="K47" s="20">
        <f t="shared" si="8"/>
        <v>0</v>
      </c>
      <c r="L47" s="23" t="s">
        <v>19</v>
      </c>
      <c r="M47" s="20" t="s">
        <v>228</v>
      </c>
      <c r="N47" s="20"/>
      <c r="O47" s="20" t="s">
        <v>269</v>
      </c>
      <c r="P47" s="31" t="s">
        <v>257</v>
      </c>
      <c r="Q47" s="30" t="s">
        <v>331</v>
      </c>
    </row>
    <row r="48" spans="1:31">
      <c r="A48" s="20">
        <v>8</v>
      </c>
      <c r="B48" s="20">
        <v>2</v>
      </c>
      <c r="C48" s="20">
        <v>2</v>
      </c>
      <c r="D48" s="20">
        <v>0</v>
      </c>
      <c r="E48" s="20">
        <v>0</v>
      </c>
      <c r="F48" s="20">
        <v>3</v>
      </c>
      <c r="G48" s="20">
        <v>2</v>
      </c>
      <c r="H48" s="20">
        <f t="shared" si="0"/>
        <v>5</v>
      </c>
      <c r="I48" s="20">
        <f t="shared" si="1"/>
        <v>4</v>
      </c>
      <c r="J48" s="20">
        <f t="shared" si="7"/>
        <v>0</v>
      </c>
      <c r="K48" s="20">
        <f t="shared" si="8"/>
        <v>0</v>
      </c>
      <c r="L48" s="23" t="s">
        <v>22</v>
      </c>
      <c r="M48" s="20" t="s">
        <v>228</v>
      </c>
      <c r="O48" t="s">
        <v>270</v>
      </c>
      <c r="P48" t="s">
        <v>257</v>
      </c>
      <c r="Q48" s="21" t="s">
        <v>332</v>
      </c>
      <c r="R48" s="31"/>
      <c r="S48" s="31"/>
      <c r="T48" s="31"/>
      <c r="U48" s="31"/>
      <c r="V48" s="31"/>
      <c r="X48" s="38"/>
    </row>
    <row r="49" spans="1:33">
      <c r="A49" s="20">
        <v>8</v>
      </c>
      <c r="B49" s="20">
        <v>2</v>
      </c>
      <c r="C49" s="20">
        <v>2</v>
      </c>
      <c r="D49" s="20">
        <v>0</v>
      </c>
      <c r="E49" s="20">
        <v>0</v>
      </c>
      <c r="F49" s="20">
        <v>3</v>
      </c>
      <c r="G49" s="20">
        <v>2</v>
      </c>
      <c r="H49" s="20">
        <f t="shared" ref="H49" si="24">B49+F49</f>
        <v>5</v>
      </c>
      <c r="I49" s="20">
        <f t="shared" ref="I49" si="25">C49+G49</f>
        <v>4</v>
      </c>
      <c r="J49" s="20">
        <f t="shared" ref="J49" si="26">D49</f>
        <v>0</v>
      </c>
      <c r="K49" s="20">
        <f t="shared" ref="K49" si="27">E49</f>
        <v>0</v>
      </c>
      <c r="L49" s="23"/>
      <c r="M49" s="20" t="s">
        <v>228</v>
      </c>
      <c r="O49" t="s">
        <v>270</v>
      </c>
      <c r="P49" t="s">
        <v>257</v>
      </c>
      <c r="Q49" s="38" t="s">
        <v>333</v>
      </c>
      <c r="R49" s="32"/>
      <c r="S49" s="32"/>
      <c r="T49" s="32"/>
      <c r="U49" s="32"/>
      <c r="V49" s="32"/>
      <c r="W49" s="33"/>
      <c r="X49" s="33"/>
    </row>
    <row r="50" spans="1:33">
      <c r="A50" s="24" t="s">
        <v>28</v>
      </c>
      <c r="B50" s="24">
        <v>1</v>
      </c>
      <c r="C50" s="24">
        <v>2</v>
      </c>
      <c r="D50" s="24">
        <v>2</v>
      </c>
      <c r="E50" s="24">
        <v>0</v>
      </c>
      <c r="F50" s="24">
        <v>3</v>
      </c>
      <c r="G50" s="24">
        <v>2</v>
      </c>
      <c r="H50" s="24">
        <f t="shared" si="0"/>
        <v>4</v>
      </c>
      <c r="I50" s="24">
        <f t="shared" si="1"/>
        <v>4</v>
      </c>
      <c r="J50" s="24">
        <f t="shared" si="7"/>
        <v>2</v>
      </c>
      <c r="K50" s="24">
        <f t="shared" si="8"/>
        <v>0</v>
      </c>
      <c r="L50" s="25" t="s">
        <v>26</v>
      </c>
      <c r="M50" s="24" t="s">
        <v>228</v>
      </c>
      <c r="N50" s="24"/>
      <c r="O50" s="20" t="s">
        <v>269</v>
      </c>
      <c r="P50" s="31" t="s">
        <v>257</v>
      </c>
      <c r="Q50" s="33" t="s">
        <v>334</v>
      </c>
      <c r="S50" s="32"/>
      <c r="T50" s="32"/>
      <c r="U50" s="32"/>
      <c r="V50" s="32"/>
      <c r="W50" s="32"/>
      <c r="X50" s="32"/>
    </row>
    <row r="51" spans="1:33">
      <c r="A51" s="24" t="s">
        <v>30</v>
      </c>
      <c r="B51" s="24">
        <v>1</v>
      </c>
      <c r="C51" s="24">
        <v>2</v>
      </c>
      <c r="D51" s="24">
        <v>2</v>
      </c>
      <c r="E51" s="24">
        <v>0</v>
      </c>
      <c r="F51" s="24">
        <v>3</v>
      </c>
      <c r="G51" s="24">
        <v>2</v>
      </c>
      <c r="H51" s="24">
        <f t="shared" si="0"/>
        <v>4</v>
      </c>
      <c r="I51" s="24">
        <f t="shared" si="1"/>
        <v>4</v>
      </c>
      <c r="J51" s="24">
        <f t="shared" si="7"/>
        <v>2</v>
      </c>
      <c r="K51" s="24">
        <f t="shared" ref="K51" si="28">E51</f>
        <v>0</v>
      </c>
      <c r="L51" s="25" t="s">
        <v>31</v>
      </c>
      <c r="M51" s="24" t="s">
        <v>227</v>
      </c>
      <c r="N51" s="24"/>
      <c r="O51" s="20" t="s">
        <v>271</v>
      </c>
      <c r="P51" s="31" t="s">
        <v>257</v>
      </c>
      <c r="Q51" s="30" t="s">
        <v>335</v>
      </c>
      <c r="R51" s="32"/>
      <c r="S51" s="32"/>
    </row>
    <row r="52" spans="1:33">
      <c r="A52" s="24" t="s">
        <v>127</v>
      </c>
      <c r="B52" s="24">
        <v>2</v>
      </c>
      <c r="C52" s="24">
        <v>2</v>
      </c>
      <c r="D52" s="24">
        <v>1</v>
      </c>
      <c r="E52" s="24">
        <v>0</v>
      </c>
      <c r="F52" s="24">
        <v>3</v>
      </c>
      <c r="G52" s="24">
        <v>2</v>
      </c>
      <c r="H52" s="24">
        <f t="shared" si="0"/>
        <v>5</v>
      </c>
      <c r="I52" s="24">
        <f t="shared" si="1"/>
        <v>4</v>
      </c>
      <c r="J52" s="24">
        <f t="shared" si="7"/>
        <v>1</v>
      </c>
      <c r="K52" s="24">
        <f t="shared" si="8"/>
        <v>0</v>
      </c>
      <c r="L52" s="25"/>
      <c r="M52" s="24" t="s">
        <v>228</v>
      </c>
      <c r="N52" s="24"/>
      <c r="O52" s="20" t="s">
        <v>270</v>
      </c>
      <c r="P52" t="s">
        <v>257</v>
      </c>
      <c r="Q52" s="30" t="s">
        <v>256</v>
      </c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3">
      <c r="A53" s="24" t="s">
        <v>127</v>
      </c>
      <c r="B53" s="24">
        <v>2</v>
      </c>
      <c r="C53" s="24">
        <v>2</v>
      </c>
      <c r="D53" s="24">
        <v>1</v>
      </c>
      <c r="E53" s="24">
        <v>0</v>
      </c>
      <c r="F53" s="24">
        <v>3</v>
      </c>
      <c r="G53" s="24">
        <v>2</v>
      </c>
      <c r="H53" s="24">
        <f t="shared" ref="H53" si="29">B53+F53</f>
        <v>5</v>
      </c>
      <c r="I53" s="24">
        <f t="shared" ref="I53" si="30">C53+G53</f>
        <v>4</v>
      </c>
      <c r="J53" s="24">
        <f t="shared" ref="J53" si="31">D53</f>
        <v>1</v>
      </c>
      <c r="K53" s="24">
        <f t="shared" ref="K53" si="32">E53</f>
        <v>0</v>
      </c>
      <c r="L53" s="25"/>
      <c r="M53" s="24" t="s">
        <v>228</v>
      </c>
      <c r="N53" s="20" t="s">
        <v>275</v>
      </c>
      <c r="O53" s="20"/>
      <c r="P53" t="s">
        <v>257</v>
      </c>
      <c r="Q53" s="33" t="s">
        <v>276</v>
      </c>
      <c r="AG53" s="30"/>
    </row>
    <row r="54" spans="1:33">
      <c r="A54" s="24" t="s">
        <v>129</v>
      </c>
      <c r="B54" s="24">
        <v>2</v>
      </c>
      <c r="C54" s="24">
        <v>2</v>
      </c>
      <c r="D54" s="24">
        <v>1</v>
      </c>
      <c r="E54" s="24">
        <v>0</v>
      </c>
      <c r="F54" s="24">
        <v>3</v>
      </c>
      <c r="G54" s="24">
        <v>2</v>
      </c>
      <c r="H54" s="24">
        <f t="shared" si="0"/>
        <v>5</v>
      </c>
      <c r="I54" s="24">
        <f t="shared" si="1"/>
        <v>4</v>
      </c>
      <c r="J54" s="24">
        <f t="shared" si="7"/>
        <v>1</v>
      </c>
      <c r="K54" s="24">
        <f t="shared" ref="K54" si="33">E54</f>
        <v>0</v>
      </c>
      <c r="L54" s="24"/>
      <c r="M54" s="24" t="s">
        <v>229</v>
      </c>
      <c r="N54" s="24" t="s">
        <v>272</v>
      </c>
      <c r="O54" s="20"/>
      <c r="P54" t="s">
        <v>257</v>
      </c>
    </row>
    <row r="55" spans="1:33">
      <c r="A55" s="20">
        <v>11</v>
      </c>
      <c r="B55" s="20">
        <v>2</v>
      </c>
      <c r="C55" s="20">
        <v>2</v>
      </c>
      <c r="D55" s="20">
        <v>3</v>
      </c>
      <c r="E55" s="20">
        <v>0</v>
      </c>
      <c r="F55" s="20">
        <v>3</v>
      </c>
      <c r="G55" s="20">
        <v>2</v>
      </c>
      <c r="H55" s="20">
        <f t="shared" si="0"/>
        <v>5</v>
      </c>
      <c r="I55" s="20">
        <f t="shared" si="1"/>
        <v>4</v>
      </c>
      <c r="J55" s="20">
        <f t="shared" si="7"/>
        <v>3</v>
      </c>
      <c r="K55" s="20">
        <f t="shared" si="8"/>
        <v>0</v>
      </c>
      <c r="L55" s="20" t="s">
        <v>40</v>
      </c>
      <c r="M55" s="20" t="s">
        <v>227</v>
      </c>
      <c r="N55" s="20"/>
      <c r="O55" s="20"/>
      <c r="P55" t="s">
        <v>257</v>
      </c>
      <c r="Q55" s="30" t="s">
        <v>336</v>
      </c>
    </row>
    <row r="56" spans="1:33">
      <c r="A56" s="20" t="s">
        <v>126</v>
      </c>
      <c r="B56" s="20">
        <v>2</v>
      </c>
      <c r="C56" s="20">
        <v>2</v>
      </c>
      <c r="D56" s="20">
        <v>2</v>
      </c>
      <c r="E56" s="20">
        <v>1</v>
      </c>
      <c r="F56" s="20">
        <v>3</v>
      </c>
      <c r="G56" s="20">
        <v>2</v>
      </c>
      <c r="H56" s="20">
        <f t="shared" si="0"/>
        <v>5</v>
      </c>
      <c r="I56" s="20">
        <f t="shared" si="1"/>
        <v>4</v>
      </c>
      <c r="J56" s="20">
        <f t="shared" si="7"/>
        <v>2</v>
      </c>
      <c r="K56" s="20">
        <f t="shared" si="8"/>
        <v>1</v>
      </c>
      <c r="L56" s="20" t="s">
        <v>46</v>
      </c>
      <c r="M56" s="20" t="s">
        <v>227</v>
      </c>
      <c r="N56" s="20"/>
      <c r="O56" s="20"/>
      <c r="P56" t="s">
        <v>257</v>
      </c>
      <c r="Q56" s="30" t="s">
        <v>337</v>
      </c>
      <c r="S56" s="32"/>
    </row>
    <row r="57" spans="1:33">
      <c r="A57" s="20" t="s">
        <v>126</v>
      </c>
      <c r="B57" s="20">
        <v>2</v>
      </c>
      <c r="C57" s="20">
        <v>2</v>
      </c>
      <c r="D57" s="20">
        <v>2</v>
      </c>
      <c r="E57" s="20">
        <v>1</v>
      </c>
      <c r="F57" s="20">
        <v>3</v>
      </c>
      <c r="G57" s="20">
        <v>2</v>
      </c>
      <c r="H57" s="20">
        <f t="shared" si="0"/>
        <v>5</v>
      </c>
      <c r="I57" s="20">
        <f t="shared" si="1"/>
        <v>4</v>
      </c>
      <c r="J57" s="20">
        <f t="shared" si="7"/>
        <v>2</v>
      </c>
      <c r="K57" s="20">
        <f t="shared" ref="K57" si="34">E57</f>
        <v>1</v>
      </c>
      <c r="L57" s="20" t="s">
        <v>245</v>
      </c>
      <c r="M57" s="20" t="s">
        <v>227</v>
      </c>
      <c r="N57" s="20"/>
      <c r="O57" s="20"/>
      <c r="P57" t="s">
        <v>257</v>
      </c>
      <c r="Q57" s="33" t="s">
        <v>338</v>
      </c>
    </row>
    <row r="58" spans="1:33">
      <c r="A58" s="20">
        <v>13</v>
      </c>
      <c r="B58" s="20">
        <v>2</v>
      </c>
      <c r="C58" s="20">
        <v>2</v>
      </c>
      <c r="D58" s="20">
        <v>2</v>
      </c>
      <c r="E58" s="20">
        <v>2</v>
      </c>
      <c r="F58" s="20">
        <v>3</v>
      </c>
      <c r="G58" s="20">
        <v>2</v>
      </c>
      <c r="H58" s="20">
        <f t="shared" si="0"/>
        <v>5</v>
      </c>
      <c r="I58" s="20">
        <f t="shared" si="1"/>
        <v>4</v>
      </c>
      <c r="J58" s="20">
        <f t="shared" si="7"/>
        <v>2</v>
      </c>
      <c r="K58" s="20">
        <f t="shared" si="8"/>
        <v>2</v>
      </c>
      <c r="L58" s="20" t="s">
        <v>49</v>
      </c>
      <c r="M58" s="20" t="s">
        <v>227</v>
      </c>
      <c r="N58" s="20"/>
      <c r="O58" s="20"/>
      <c r="P58" t="s">
        <v>257</v>
      </c>
      <c r="Q58" s="30" t="s">
        <v>339</v>
      </c>
      <c r="R58" s="35"/>
    </row>
    <row r="59" spans="1:33">
      <c r="A59" s="20" t="s">
        <v>125</v>
      </c>
      <c r="B59" s="20">
        <v>2</v>
      </c>
      <c r="C59" s="20">
        <v>2</v>
      </c>
      <c r="D59" s="20">
        <v>1</v>
      </c>
      <c r="E59" s="20">
        <v>3</v>
      </c>
      <c r="F59" s="20">
        <v>3</v>
      </c>
      <c r="G59" s="20">
        <v>2</v>
      </c>
      <c r="H59" s="20">
        <f t="shared" si="0"/>
        <v>5</v>
      </c>
      <c r="I59" s="20">
        <f t="shared" si="1"/>
        <v>4</v>
      </c>
      <c r="J59" s="20">
        <f t="shared" si="7"/>
        <v>1</v>
      </c>
      <c r="K59" s="20">
        <f t="shared" si="8"/>
        <v>3</v>
      </c>
      <c r="L59" s="20" t="s">
        <v>51</v>
      </c>
      <c r="M59" s="20" t="s">
        <v>227</v>
      </c>
      <c r="N59" s="20"/>
      <c r="O59" s="20"/>
      <c r="P59" s="34" t="s">
        <v>257</v>
      </c>
      <c r="Q59" s="36" t="s">
        <v>340</v>
      </c>
      <c r="R59" s="35"/>
      <c r="T59" s="35"/>
      <c r="U59" s="35"/>
    </row>
    <row r="60" spans="1:33">
      <c r="A60" s="20">
        <v>15</v>
      </c>
      <c r="B60" s="20">
        <v>2</v>
      </c>
      <c r="C60" s="20">
        <v>2</v>
      </c>
      <c r="D60" s="20">
        <v>1</v>
      </c>
      <c r="E60" s="20">
        <v>4</v>
      </c>
      <c r="F60" s="20">
        <v>3</v>
      </c>
      <c r="G60" s="20">
        <v>2</v>
      </c>
      <c r="H60" s="20">
        <f t="shared" si="0"/>
        <v>5</v>
      </c>
      <c r="I60" s="20">
        <f t="shared" si="1"/>
        <v>4</v>
      </c>
      <c r="J60" s="20">
        <f t="shared" si="7"/>
        <v>1</v>
      </c>
      <c r="K60" s="20">
        <f t="shared" si="8"/>
        <v>4</v>
      </c>
      <c r="L60" s="20" t="s">
        <v>135</v>
      </c>
      <c r="M60" s="20" t="s">
        <v>229</v>
      </c>
      <c r="N60" s="20"/>
      <c r="O60" s="20"/>
      <c r="P60" s="34" t="s">
        <v>257</v>
      </c>
      <c r="Q60" s="36" t="s">
        <v>341</v>
      </c>
      <c r="R60" s="35"/>
      <c r="S60" s="35"/>
      <c r="T60" s="35"/>
      <c r="U60" s="35"/>
    </row>
    <row r="61" spans="1:33">
      <c r="A61" s="20">
        <v>16</v>
      </c>
      <c r="B61" s="20">
        <v>0</v>
      </c>
      <c r="C61" s="20">
        <v>3</v>
      </c>
      <c r="D61" s="20">
        <v>1</v>
      </c>
      <c r="E61" s="20">
        <v>0</v>
      </c>
      <c r="F61" s="20">
        <v>3</v>
      </c>
      <c r="G61" s="20">
        <v>2</v>
      </c>
      <c r="H61" s="20">
        <f t="shared" si="0"/>
        <v>3</v>
      </c>
      <c r="I61" s="20">
        <f t="shared" si="1"/>
        <v>5</v>
      </c>
      <c r="J61" s="20">
        <f t="shared" si="7"/>
        <v>1</v>
      </c>
      <c r="K61" s="20">
        <f t="shared" si="8"/>
        <v>0</v>
      </c>
      <c r="L61" s="20" t="s">
        <v>246</v>
      </c>
      <c r="M61" s="20" t="s">
        <v>228</v>
      </c>
      <c r="N61" s="20"/>
      <c r="O61" s="20" t="s">
        <v>255</v>
      </c>
      <c r="P61" s="34" t="s">
        <v>257</v>
      </c>
      <c r="Q61" s="36" t="s">
        <v>342</v>
      </c>
      <c r="S61" s="35"/>
      <c r="T61" s="36"/>
      <c r="U61" s="35"/>
      <c r="V61" s="35"/>
      <c r="W61" s="35"/>
    </row>
    <row r="62" spans="1:33">
      <c r="A62" s="20" t="s">
        <v>124</v>
      </c>
      <c r="B62" s="20">
        <v>1</v>
      </c>
      <c r="C62" s="20">
        <v>3</v>
      </c>
      <c r="D62" s="20">
        <v>1</v>
      </c>
      <c r="E62" s="20">
        <v>0</v>
      </c>
      <c r="F62" s="20">
        <v>3</v>
      </c>
      <c r="G62" s="20">
        <v>2</v>
      </c>
      <c r="H62" s="20">
        <f t="shared" si="0"/>
        <v>4</v>
      </c>
      <c r="I62" s="20">
        <f t="shared" si="1"/>
        <v>5</v>
      </c>
      <c r="J62" s="20">
        <f t="shared" si="7"/>
        <v>1</v>
      </c>
      <c r="K62" s="20">
        <f t="shared" si="8"/>
        <v>0</v>
      </c>
      <c r="L62" s="20" t="s">
        <v>137</v>
      </c>
      <c r="M62" s="20" t="s">
        <v>228</v>
      </c>
      <c r="N62" s="20"/>
      <c r="O62" s="20" t="s">
        <v>258</v>
      </c>
      <c r="P62" s="34" t="s">
        <v>257</v>
      </c>
      <c r="Q62" s="36" t="s">
        <v>343</v>
      </c>
      <c r="T62" s="35"/>
      <c r="AF62" s="35"/>
    </row>
    <row r="63" spans="1:33">
      <c r="A63" s="20" t="s">
        <v>124</v>
      </c>
      <c r="B63" s="20">
        <v>1</v>
      </c>
      <c r="C63" s="20">
        <v>3</v>
      </c>
      <c r="D63" s="20">
        <v>1</v>
      </c>
      <c r="E63" s="20">
        <v>0</v>
      </c>
      <c r="F63" s="20">
        <v>3</v>
      </c>
      <c r="G63" s="20">
        <v>2</v>
      </c>
      <c r="H63" s="20">
        <f t="shared" si="0"/>
        <v>4</v>
      </c>
      <c r="I63" s="20">
        <f t="shared" si="1"/>
        <v>5</v>
      </c>
      <c r="J63" s="20">
        <f t="shared" si="7"/>
        <v>1</v>
      </c>
      <c r="K63" s="20">
        <f t="shared" ref="K63" si="35">E63</f>
        <v>0</v>
      </c>
      <c r="L63" s="20" t="s">
        <v>63</v>
      </c>
      <c r="M63" s="20" t="s">
        <v>228</v>
      </c>
      <c r="N63" s="20"/>
      <c r="O63" s="20"/>
      <c r="P63" s="34" t="s">
        <v>257</v>
      </c>
      <c r="Q63" s="36" t="s">
        <v>344</v>
      </c>
      <c r="T63" s="35"/>
      <c r="U63" s="35"/>
    </row>
    <row r="64" spans="1:33">
      <c r="A64" s="20" t="s">
        <v>124</v>
      </c>
      <c r="B64" s="20">
        <v>1</v>
      </c>
      <c r="C64" s="20">
        <v>3</v>
      </c>
      <c r="D64" s="20">
        <v>1</v>
      </c>
      <c r="E64" s="20">
        <v>0</v>
      </c>
      <c r="F64" s="20">
        <v>3</v>
      </c>
      <c r="G64" s="20">
        <v>2</v>
      </c>
      <c r="H64" s="20">
        <f t="shared" ref="H64:H73" si="36">B64+F64</f>
        <v>4</v>
      </c>
      <c r="I64" s="20">
        <f t="shared" ref="I64:I73" si="37">C64+G64</f>
        <v>5</v>
      </c>
      <c r="J64" s="20">
        <f t="shared" ref="J64:J73" si="38">D64</f>
        <v>1</v>
      </c>
      <c r="K64" s="20">
        <f t="shared" ref="K64:K73" si="39">E64</f>
        <v>0</v>
      </c>
      <c r="L64" s="20" t="s">
        <v>247</v>
      </c>
      <c r="M64" s="20" t="s">
        <v>228</v>
      </c>
      <c r="N64" s="20"/>
      <c r="O64" s="20"/>
      <c r="P64" s="34" t="s">
        <v>257</v>
      </c>
      <c r="Q64" s="36" t="s">
        <v>345</v>
      </c>
      <c r="V64" s="35"/>
    </row>
    <row r="65" spans="1:21">
      <c r="A65" s="20" t="s">
        <v>124</v>
      </c>
      <c r="B65" s="20">
        <v>1</v>
      </c>
      <c r="C65" s="20">
        <v>3</v>
      </c>
      <c r="D65" s="20">
        <v>1</v>
      </c>
      <c r="E65" s="20">
        <v>0</v>
      </c>
      <c r="F65" s="20">
        <v>3</v>
      </c>
      <c r="G65" s="20">
        <v>2</v>
      </c>
      <c r="H65" s="20">
        <f t="shared" si="36"/>
        <v>4</v>
      </c>
      <c r="I65" s="20">
        <f t="shared" si="37"/>
        <v>5</v>
      </c>
      <c r="J65" s="20">
        <f t="shared" si="38"/>
        <v>1</v>
      </c>
      <c r="K65" s="20">
        <f t="shared" si="39"/>
        <v>0</v>
      </c>
      <c r="L65" s="20"/>
      <c r="M65" s="20" t="s">
        <v>228</v>
      </c>
      <c r="N65" s="20"/>
      <c r="O65" s="20"/>
      <c r="P65" s="34" t="s">
        <v>257</v>
      </c>
      <c r="Q65" s="36" t="s">
        <v>346</v>
      </c>
      <c r="T65" s="35"/>
      <c r="U65" s="35"/>
    </row>
    <row r="66" spans="1:21">
      <c r="A66" s="20" t="s">
        <v>124</v>
      </c>
      <c r="B66" s="20">
        <v>1</v>
      </c>
      <c r="C66" s="20">
        <v>3</v>
      </c>
      <c r="D66" s="20">
        <v>1</v>
      </c>
      <c r="E66" s="20">
        <v>0</v>
      </c>
      <c r="F66" s="20">
        <v>3</v>
      </c>
      <c r="G66" s="20">
        <v>2</v>
      </c>
      <c r="H66" s="20">
        <f t="shared" si="36"/>
        <v>4</v>
      </c>
      <c r="I66" s="20">
        <f t="shared" si="37"/>
        <v>5</v>
      </c>
      <c r="J66" s="20">
        <f t="shared" si="38"/>
        <v>1</v>
      </c>
      <c r="K66" s="20">
        <f t="shared" si="39"/>
        <v>0</v>
      </c>
      <c r="L66" s="20"/>
      <c r="M66" s="20" t="s">
        <v>228</v>
      </c>
      <c r="N66" s="20"/>
      <c r="O66" s="20"/>
      <c r="P66" s="34" t="s">
        <v>257</v>
      </c>
      <c r="Q66" s="36" t="s">
        <v>347</v>
      </c>
      <c r="T66" s="35"/>
      <c r="U66" s="35"/>
    </row>
    <row r="67" spans="1:21">
      <c r="A67" s="20" t="s">
        <v>124</v>
      </c>
      <c r="B67" s="20">
        <v>1</v>
      </c>
      <c r="C67" s="20">
        <v>3</v>
      </c>
      <c r="D67" s="20">
        <v>1</v>
      </c>
      <c r="E67" s="20">
        <v>0</v>
      </c>
      <c r="F67" s="20">
        <v>3</v>
      </c>
      <c r="G67" s="20">
        <v>2</v>
      </c>
      <c r="H67" s="20">
        <f t="shared" si="36"/>
        <v>4</v>
      </c>
      <c r="I67" s="20">
        <f t="shared" si="37"/>
        <v>5</v>
      </c>
      <c r="J67" s="20">
        <f t="shared" si="38"/>
        <v>1</v>
      </c>
      <c r="K67" s="20">
        <f t="shared" si="39"/>
        <v>0</v>
      </c>
      <c r="L67" s="20"/>
      <c r="M67" s="20" t="s">
        <v>228</v>
      </c>
      <c r="N67" s="20"/>
      <c r="O67" s="20"/>
      <c r="P67" s="34" t="s">
        <v>257</v>
      </c>
      <c r="Q67" s="36" t="s">
        <v>348</v>
      </c>
      <c r="T67" s="35"/>
      <c r="U67" s="35"/>
    </row>
    <row r="68" spans="1:21">
      <c r="A68" s="20" t="s">
        <v>124</v>
      </c>
      <c r="B68" s="20">
        <v>1</v>
      </c>
      <c r="C68" s="20">
        <v>3</v>
      </c>
      <c r="D68" s="20">
        <v>1</v>
      </c>
      <c r="E68" s="20">
        <v>0</v>
      </c>
      <c r="F68" s="20">
        <v>3</v>
      </c>
      <c r="G68" s="20">
        <v>2</v>
      </c>
      <c r="H68" s="20">
        <f t="shared" si="36"/>
        <v>4</v>
      </c>
      <c r="I68" s="20">
        <f t="shared" si="37"/>
        <v>5</v>
      </c>
      <c r="J68" s="20">
        <f t="shared" si="38"/>
        <v>1</v>
      </c>
      <c r="K68" s="20">
        <f t="shared" si="39"/>
        <v>0</v>
      </c>
      <c r="L68" s="20"/>
      <c r="M68" s="20" t="s">
        <v>228</v>
      </c>
      <c r="N68" s="20"/>
      <c r="O68" s="20"/>
      <c r="P68" s="34" t="s">
        <v>257</v>
      </c>
      <c r="Q68" s="36" t="s">
        <v>349</v>
      </c>
      <c r="T68" s="35"/>
      <c r="U68" s="35"/>
    </row>
    <row r="69" spans="1:21">
      <c r="A69" s="20" t="s">
        <v>124</v>
      </c>
      <c r="B69" s="20">
        <v>1</v>
      </c>
      <c r="C69" s="20">
        <v>3</v>
      </c>
      <c r="D69" s="20">
        <v>1</v>
      </c>
      <c r="E69" s="20">
        <v>0</v>
      </c>
      <c r="F69" s="20">
        <v>3</v>
      </c>
      <c r="G69" s="20">
        <v>2</v>
      </c>
      <c r="H69" s="20">
        <f t="shared" si="36"/>
        <v>4</v>
      </c>
      <c r="I69" s="20">
        <f t="shared" si="37"/>
        <v>5</v>
      </c>
      <c r="J69" s="20">
        <f t="shared" si="38"/>
        <v>1</v>
      </c>
      <c r="K69" s="20">
        <f t="shared" si="39"/>
        <v>0</v>
      </c>
      <c r="L69" s="20"/>
      <c r="M69" s="20" t="s">
        <v>228</v>
      </c>
      <c r="N69" s="20"/>
      <c r="O69" s="20"/>
      <c r="P69" s="34" t="s">
        <v>257</v>
      </c>
      <c r="Q69" s="36" t="s">
        <v>350</v>
      </c>
      <c r="T69" s="35"/>
      <c r="U69" s="35"/>
    </row>
    <row r="70" spans="1:21">
      <c r="A70" s="20" t="s">
        <v>124</v>
      </c>
      <c r="B70" s="20">
        <v>1</v>
      </c>
      <c r="C70" s="20">
        <v>3</v>
      </c>
      <c r="D70" s="20">
        <v>1</v>
      </c>
      <c r="E70" s="20">
        <v>0</v>
      </c>
      <c r="F70" s="20">
        <v>3</v>
      </c>
      <c r="G70" s="20">
        <v>2</v>
      </c>
      <c r="H70" s="20">
        <f t="shared" si="36"/>
        <v>4</v>
      </c>
      <c r="I70" s="20">
        <f t="shared" si="37"/>
        <v>5</v>
      </c>
      <c r="J70" s="20">
        <f t="shared" si="38"/>
        <v>1</v>
      </c>
      <c r="K70" s="20">
        <f t="shared" si="39"/>
        <v>0</v>
      </c>
      <c r="L70" s="20"/>
      <c r="M70" s="20" t="s">
        <v>228</v>
      </c>
      <c r="N70" s="20"/>
      <c r="O70" s="20"/>
      <c r="P70" s="34" t="s">
        <v>257</v>
      </c>
      <c r="Q70" s="36" t="s">
        <v>351</v>
      </c>
      <c r="U70" s="35"/>
    </row>
    <row r="71" spans="1:21">
      <c r="A71" s="20" t="s">
        <v>124</v>
      </c>
      <c r="B71" s="20">
        <v>1</v>
      </c>
      <c r="C71" s="20">
        <v>3</v>
      </c>
      <c r="D71" s="20">
        <v>1</v>
      </c>
      <c r="E71" s="20">
        <v>0</v>
      </c>
      <c r="F71" s="20">
        <v>3</v>
      </c>
      <c r="G71" s="20">
        <v>2</v>
      </c>
      <c r="H71" s="20">
        <f t="shared" si="36"/>
        <v>4</v>
      </c>
      <c r="I71" s="20">
        <f t="shared" si="37"/>
        <v>5</v>
      </c>
      <c r="J71" s="20">
        <f t="shared" si="38"/>
        <v>1</v>
      </c>
      <c r="K71" s="20">
        <f t="shared" si="39"/>
        <v>0</v>
      </c>
      <c r="L71" s="20"/>
      <c r="M71" s="20" t="s">
        <v>228</v>
      </c>
      <c r="N71" s="20"/>
      <c r="O71" s="20"/>
      <c r="P71" s="34" t="s">
        <v>257</v>
      </c>
      <c r="Q71" s="36" t="s">
        <v>352</v>
      </c>
      <c r="T71" s="35"/>
      <c r="U71" s="35"/>
    </row>
    <row r="72" spans="1:21">
      <c r="A72" s="20" t="s">
        <v>124</v>
      </c>
      <c r="B72" s="20">
        <v>1</v>
      </c>
      <c r="C72" s="20">
        <v>3</v>
      </c>
      <c r="D72" s="20">
        <v>1</v>
      </c>
      <c r="E72" s="20">
        <v>0</v>
      </c>
      <c r="F72" s="20">
        <v>3</v>
      </c>
      <c r="G72" s="20">
        <v>2</v>
      </c>
      <c r="H72" s="20">
        <f t="shared" si="36"/>
        <v>4</v>
      </c>
      <c r="I72" s="20">
        <f t="shared" si="37"/>
        <v>5</v>
      </c>
      <c r="J72" s="20">
        <f t="shared" si="38"/>
        <v>1</v>
      </c>
      <c r="K72" s="20">
        <f t="shared" si="39"/>
        <v>0</v>
      </c>
      <c r="L72" s="20"/>
      <c r="M72" s="20" t="s">
        <v>228</v>
      </c>
      <c r="N72" s="20"/>
      <c r="O72" s="20"/>
      <c r="P72" s="34" t="s">
        <v>257</v>
      </c>
      <c r="Q72" s="36" t="s">
        <v>353</v>
      </c>
      <c r="T72" s="35"/>
      <c r="U72" s="35"/>
    </row>
    <row r="73" spans="1:21">
      <c r="A73" s="20" t="s">
        <v>124</v>
      </c>
      <c r="B73" s="20">
        <v>1</v>
      </c>
      <c r="C73" s="20">
        <v>3</v>
      </c>
      <c r="D73" s="20">
        <v>1</v>
      </c>
      <c r="E73" s="20">
        <v>0</v>
      </c>
      <c r="F73" s="20">
        <v>3</v>
      </c>
      <c r="G73" s="20">
        <v>2</v>
      </c>
      <c r="H73" s="20">
        <f t="shared" si="36"/>
        <v>4</v>
      </c>
      <c r="I73" s="20">
        <f t="shared" si="37"/>
        <v>5</v>
      </c>
      <c r="J73" s="20">
        <f t="shared" si="38"/>
        <v>1</v>
      </c>
      <c r="K73" s="20">
        <f t="shared" si="39"/>
        <v>0</v>
      </c>
      <c r="L73" s="20"/>
      <c r="M73" s="20" t="s">
        <v>228</v>
      </c>
      <c r="N73" s="20"/>
      <c r="O73" s="20"/>
      <c r="P73" s="34" t="s">
        <v>257</v>
      </c>
      <c r="Q73" s="36" t="s">
        <v>354</v>
      </c>
      <c r="T73" s="35"/>
      <c r="U73" s="35"/>
    </row>
    <row r="74" spans="1:21">
      <c r="A74" s="24" t="s">
        <v>67</v>
      </c>
      <c r="B74" s="24">
        <v>1</v>
      </c>
      <c r="C74" s="24">
        <v>3</v>
      </c>
      <c r="D74" s="24">
        <v>2</v>
      </c>
      <c r="E74" s="24">
        <v>0</v>
      </c>
      <c r="F74" s="24">
        <v>3</v>
      </c>
      <c r="G74" s="24">
        <v>2</v>
      </c>
      <c r="H74" s="24">
        <f t="shared" si="0"/>
        <v>4</v>
      </c>
      <c r="I74" s="24">
        <f t="shared" si="1"/>
        <v>5</v>
      </c>
      <c r="J74" s="24">
        <f t="shared" si="7"/>
        <v>2</v>
      </c>
      <c r="K74" s="24">
        <f t="shared" si="8"/>
        <v>0</v>
      </c>
      <c r="L74" s="24" t="s">
        <v>70</v>
      </c>
      <c r="M74" s="24" t="s">
        <v>228</v>
      </c>
      <c r="N74" s="24"/>
      <c r="O74" s="20"/>
      <c r="P74" s="34" t="s">
        <v>257</v>
      </c>
      <c r="Q74" s="36" t="s">
        <v>355</v>
      </c>
      <c r="R74" s="35"/>
      <c r="S74" s="35"/>
      <c r="T74" s="35"/>
      <c r="U74" s="35"/>
    </row>
    <row r="75" spans="1:21">
      <c r="A75" s="24" t="s">
        <v>69</v>
      </c>
      <c r="B75" s="24">
        <v>1</v>
      </c>
      <c r="C75" s="24">
        <v>3</v>
      </c>
      <c r="D75" s="24">
        <v>2</v>
      </c>
      <c r="E75" s="24">
        <v>0</v>
      </c>
      <c r="F75" s="24">
        <v>3</v>
      </c>
      <c r="G75" s="24">
        <v>2</v>
      </c>
      <c r="H75" s="24">
        <f t="shared" si="0"/>
        <v>4</v>
      </c>
      <c r="I75" s="24">
        <f t="shared" si="1"/>
        <v>5</v>
      </c>
      <c r="J75" s="24">
        <f t="shared" si="7"/>
        <v>2</v>
      </c>
      <c r="K75" s="24">
        <f t="shared" ref="K75" si="40">E75</f>
        <v>0</v>
      </c>
      <c r="L75" s="24" t="s">
        <v>231</v>
      </c>
      <c r="M75" s="24" t="s">
        <v>229</v>
      </c>
      <c r="N75" s="24" t="s">
        <v>273</v>
      </c>
      <c r="O75" s="20" t="s">
        <v>260</v>
      </c>
      <c r="P75" s="34" t="s">
        <v>257</v>
      </c>
      <c r="Q75" s="36" t="s">
        <v>356</v>
      </c>
      <c r="T75" s="35"/>
      <c r="U75" s="35"/>
    </row>
    <row r="76" spans="1:21">
      <c r="A76" s="24" t="s">
        <v>69</v>
      </c>
      <c r="B76" s="24">
        <v>1</v>
      </c>
      <c r="C76" s="24">
        <v>3</v>
      </c>
      <c r="D76" s="24">
        <v>2</v>
      </c>
      <c r="E76" s="24">
        <v>0</v>
      </c>
      <c r="F76" s="24">
        <v>3</v>
      </c>
      <c r="G76" s="24">
        <v>2</v>
      </c>
      <c r="H76" s="24">
        <f t="shared" si="0"/>
        <v>4</v>
      </c>
      <c r="I76" s="24">
        <f t="shared" si="1"/>
        <v>5</v>
      </c>
      <c r="J76" s="24">
        <f t="shared" si="7"/>
        <v>2</v>
      </c>
      <c r="K76" s="24">
        <f t="shared" ref="K76" si="41">E76</f>
        <v>0</v>
      </c>
      <c r="L76" s="24" t="s">
        <v>232</v>
      </c>
      <c r="M76" s="24" t="s">
        <v>229</v>
      </c>
      <c r="N76" s="20" t="s">
        <v>275</v>
      </c>
      <c r="P76" s="34" t="s">
        <v>257</v>
      </c>
      <c r="Q76" s="36" t="s">
        <v>232</v>
      </c>
      <c r="R76" s="35"/>
      <c r="S76" s="35"/>
      <c r="T76" s="35"/>
      <c r="U76" s="35"/>
    </row>
    <row r="77" spans="1:21">
      <c r="A77" s="24" t="s">
        <v>69</v>
      </c>
      <c r="B77" s="24">
        <v>1</v>
      </c>
      <c r="C77" s="24">
        <v>3</v>
      </c>
      <c r="D77" s="24">
        <v>2</v>
      </c>
      <c r="E77" s="24">
        <v>0</v>
      </c>
      <c r="F77" s="24">
        <v>3</v>
      </c>
      <c r="G77" s="24">
        <v>2</v>
      </c>
      <c r="H77" s="24">
        <f t="shared" ref="H77" si="42">B77+F77</f>
        <v>4</v>
      </c>
      <c r="I77" s="24">
        <f t="shared" ref="I77" si="43">C77+G77</f>
        <v>5</v>
      </c>
      <c r="J77" s="24">
        <f t="shared" ref="J77" si="44">D77</f>
        <v>2</v>
      </c>
      <c r="K77" s="24">
        <f t="shared" ref="K77" si="45">E77</f>
        <v>0</v>
      </c>
      <c r="L77" s="24"/>
      <c r="M77" s="24" t="s">
        <v>229</v>
      </c>
      <c r="N77" s="20" t="s">
        <v>275</v>
      </c>
      <c r="P77" s="34" t="s">
        <v>257</v>
      </c>
      <c r="Q77" s="36" t="s">
        <v>274</v>
      </c>
      <c r="R77" s="35"/>
      <c r="S77" s="35"/>
      <c r="T77" s="35"/>
      <c r="U77" s="35"/>
    </row>
    <row r="78" spans="1:21">
      <c r="A78" s="24" t="s">
        <v>74</v>
      </c>
      <c r="B78" s="24">
        <v>2</v>
      </c>
      <c r="C78" s="24">
        <v>3</v>
      </c>
      <c r="D78" s="24">
        <v>3</v>
      </c>
      <c r="E78" s="24">
        <v>0</v>
      </c>
      <c r="F78" s="24">
        <v>3</v>
      </c>
      <c r="G78" s="24">
        <v>2</v>
      </c>
      <c r="H78" s="24">
        <f t="shared" si="0"/>
        <v>5</v>
      </c>
      <c r="I78" s="24">
        <f t="shared" si="1"/>
        <v>5</v>
      </c>
      <c r="J78" s="24">
        <f t="shared" si="7"/>
        <v>3</v>
      </c>
      <c r="K78" s="24">
        <f t="shared" si="8"/>
        <v>0</v>
      </c>
      <c r="L78" s="24" t="s">
        <v>79</v>
      </c>
      <c r="M78" s="24" t="s">
        <v>228</v>
      </c>
      <c r="N78" s="24"/>
      <c r="O78" s="20" t="s">
        <v>255</v>
      </c>
      <c r="P78" s="34" t="s">
        <v>257</v>
      </c>
      <c r="Q78" s="36" t="s">
        <v>357</v>
      </c>
      <c r="R78" s="35"/>
      <c r="S78" s="35"/>
      <c r="T78" s="35"/>
    </row>
    <row r="79" spans="1:21">
      <c r="A79" s="24" t="s">
        <v>74</v>
      </c>
      <c r="B79" s="24">
        <v>2</v>
      </c>
      <c r="C79" s="24">
        <v>3</v>
      </c>
      <c r="D79" s="24">
        <v>3</v>
      </c>
      <c r="E79" s="24">
        <v>0</v>
      </c>
      <c r="F79" s="24">
        <v>3</v>
      </c>
      <c r="G79" s="24">
        <v>2</v>
      </c>
      <c r="H79" s="24">
        <f t="shared" ref="H79" si="46">B79+F79</f>
        <v>5</v>
      </c>
      <c r="I79" s="24">
        <f t="shared" ref="I79" si="47">C79+G79</f>
        <v>5</v>
      </c>
      <c r="J79" s="24">
        <f t="shared" ref="J79" si="48">D79</f>
        <v>3</v>
      </c>
      <c r="K79" s="24">
        <f t="shared" ref="K79" si="49">E79</f>
        <v>0</v>
      </c>
      <c r="L79" s="24"/>
      <c r="M79" s="24" t="s">
        <v>228</v>
      </c>
      <c r="N79" s="24"/>
      <c r="O79" s="20"/>
      <c r="P79" s="34" t="s">
        <v>257</v>
      </c>
      <c r="Q79" s="36" t="s">
        <v>358</v>
      </c>
      <c r="R79" s="35"/>
      <c r="S79" s="35"/>
      <c r="T79" s="35"/>
      <c r="U79" s="36"/>
    </row>
    <row r="80" spans="1:21">
      <c r="A80" s="24" t="s">
        <v>123</v>
      </c>
      <c r="B80" s="24">
        <v>2</v>
      </c>
      <c r="C80" s="24">
        <v>3</v>
      </c>
      <c r="D80" s="24">
        <v>3</v>
      </c>
      <c r="E80" s="24">
        <v>0</v>
      </c>
      <c r="F80" s="24">
        <v>3</v>
      </c>
      <c r="G80" s="24">
        <v>2</v>
      </c>
      <c r="H80" s="24">
        <f t="shared" si="0"/>
        <v>5</v>
      </c>
      <c r="I80" s="24">
        <f t="shared" si="1"/>
        <v>5</v>
      </c>
      <c r="J80" s="24">
        <f t="shared" si="7"/>
        <v>3</v>
      </c>
      <c r="K80" s="24">
        <f t="shared" ref="K80" si="50">E80</f>
        <v>0</v>
      </c>
      <c r="L80" s="24"/>
      <c r="M80" s="24" t="s">
        <v>227</v>
      </c>
      <c r="N80" s="24" t="s">
        <v>277</v>
      </c>
      <c r="O80" s="20" t="s">
        <v>233</v>
      </c>
      <c r="P80" s="34" t="s">
        <v>257</v>
      </c>
      <c r="Q80" s="36" t="s">
        <v>278</v>
      </c>
      <c r="R80" s="35"/>
      <c r="S80" s="35"/>
      <c r="T80" s="35"/>
      <c r="U80" s="35"/>
    </row>
    <row r="81" spans="1:25">
      <c r="A81" s="24" t="s">
        <v>123</v>
      </c>
      <c r="B81" s="24">
        <v>2</v>
      </c>
      <c r="C81" s="24">
        <v>3</v>
      </c>
      <c r="D81" s="24">
        <v>3</v>
      </c>
      <c r="E81" s="24">
        <v>0</v>
      </c>
      <c r="F81" s="24">
        <v>3</v>
      </c>
      <c r="G81" s="24">
        <v>2</v>
      </c>
      <c r="H81" s="24">
        <f t="shared" ref="H81" si="51">B81+F81</f>
        <v>5</v>
      </c>
      <c r="I81" s="24">
        <f t="shared" ref="I81" si="52">C81+G81</f>
        <v>5</v>
      </c>
      <c r="J81" s="24">
        <f t="shared" ref="J81" si="53">D81</f>
        <v>3</v>
      </c>
      <c r="K81" s="24">
        <f t="shared" ref="K81" si="54">E81</f>
        <v>0</v>
      </c>
      <c r="L81" s="24"/>
      <c r="M81" s="24" t="s">
        <v>227</v>
      </c>
      <c r="N81" s="24" t="s">
        <v>275</v>
      </c>
      <c r="O81" s="20"/>
      <c r="P81" s="34" t="s">
        <v>257</v>
      </c>
      <c r="Q81" s="36" t="s">
        <v>279</v>
      </c>
      <c r="R81" s="35"/>
      <c r="S81" s="35"/>
      <c r="T81" s="35"/>
      <c r="U81" s="35"/>
      <c r="W81" s="36"/>
    </row>
    <row r="82" spans="1:25">
      <c r="A82" s="20">
        <v>20</v>
      </c>
      <c r="B82" s="20">
        <v>2</v>
      </c>
      <c r="C82" s="20">
        <v>3</v>
      </c>
      <c r="D82" s="20">
        <v>2</v>
      </c>
      <c r="E82" s="20">
        <v>1</v>
      </c>
      <c r="F82" s="20">
        <v>3</v>
      </c>
      <c r="G82" s="20">
        <v>2</v>
      </c>
      <c r="H82" s="20">
        <f t="shared" si="0"/>
        <v>5</v>
      </c>
      <c r="I82" s="20">
        <f t="shared" si="1"/>
        <v>5</v>
      </c>
      <c r="J82" s="20">
        <f t="shared" si="7"/>
        <v>2</v>
      </c>
      <c r="K82" s="20">
        <f t="shared" si="8"/>
        <v>1</v>
      </c>
      <c r="L82" s="20" t="s">
        <v>248</v>
      </c>
      <c r="M82" s="20" t="s">
        <v>227</v>
      </c>
      <c r="N82" s="20"/>
      <c r="O82" s="20" t="s">
        <v>258</v>
      </c>
      <c r="P82" s="34" t="s">
        <v>257</v>
      </c>
      <c r="Q82" s="36" t="s">
        <v>359</v>
      </c>
      <c r="S82" s="35"/>
      <c r="U82" s="35"/>
    </row>
    <row r="83" spans="1:25">
      <c r="A83" s="20">
        <v>20</v>
      </c>
      <c r="B83" s="20">
        <v>2</v>
      </c>
      <c r="C83" s="20">
        <v>3</v>
      </c>
      <c r="D83" s="20">
        <v>2</v>
      </c>
      <c r="E83" s="20">
        <v>1</v>
      </c>
      <c r="F83" s="20">
        <v>3</v>
      </c>
      <c r="G83" s="20">
        <v>2</v>
      </c>
      <c r="H83" s="20">
        <f t="shared" ref="H83" si="55">B83+F83</f>
        <v>5</v>
      </c>
      <c r="I83" s="20">
        <f t="shared" ref="I83" si="56">C83+G83</f>
        <v>5</v>
      </c>
      <c r="J83" s="20">
        <f t="shared" ref="J83" si="57">D83</f>
        <v>2</v>
      </c>
      <c r="K83" s="20">
        <f t="shared" ref="K83" si="58">E83</f>
        <v>1</v>
      </c>
      <c r="L83" s="20"/>
      <c r="M83" s="20" t="s">
        <v>227</v>
      </c>
      <c r="N83" s="20"/>
      <c r="O83" s="20"/>
      <c r="P83" s="34" t="s">
        <v>257</v>
      </c>
      <c r="Q83" s="36" t="s">
        <v>360</v>
      </c>
      <c r="S83" s="35"/>
      <c r="T83" s="36"/>
      <c r="U83" s="35"/>
    </row>
    <row r="84" spans="1:25">
      <c r="A84" s="20">
        <v>21</v>
      </c>
      <c r="B84" s="20">
        <v>3</v>
      </c>
      <c r="C84" s="20">
        <v>3</v>
      </c>
      <c r="D84" s="20">
        <v>3</v>
      </c>
      <c r="E84" s="20">
        <v>1</v>
      </c>
      <c r="F84" s="20">
        <v>3</v>
      </c>
      <c r="G84" s="20">
        <v>2</v>
      </c>
      <c r="H84" s="20">
        <f t="shared" ref="H84:I117" si="59">B84+F84</f>
        <v>6</v>
      </c>
      <c r="I84" s="20">
        <f t="shared" si="59"/>
        <v>5</v>
      </c>
      <c r="J84" s="20">
        <f t="shared" ref="J84:K117" si="60">D84</f>
        <v>3</v>
      </c>
      <c r="K84" s="20">
        <f t="shared" si="8"/>
        <v>1</v>
      </c>
      <c r="L84" s="20" t="s">
        <v>249</v>
      </c>
      <c r="M84" s="20" t="s">
        <v>227</v>
      </c>
      <c r="N84" s="20"/>
      <c r="O84" s="20"/>
      <c r="P84" s="34" t="s">
        <v>257</v>
      </c>
      <c r="Q84" s="36" t="s">
        <v>361</v>
      </c>
      <c r="R84" s="35"/>
      <c r="S84" s="35"/>
      <c r="T84" s="35"/>
      <c r="U84" s="35"/>
      <c r="V84" s="35"/>
    </row>
    <row r="85" spans="1:25">
      <c r="A85" s="20">
        <v>21</v>
      </c>
      <c r="B85" s="20">
        <v>3</v>
      </c>
      <c r="C85" s="20">
        <v>3</v>
      </c>
      <c r="D85" s="20">
        <v>3</v>
      </c>
      <c r="E85" s="20">
        <v>1</v>
      </c>
      <c r="F85" s="20">
        <v>3</v>
      </c>
      <c r="G85" s="20">
        <v>2</v>
      </c>
      <c r="H85" s="20">
        <f t="shared" ref="H85:H87" si="61">B85+F85</f>
        <v>6</v>
      </c>
      <c r="I85" s="20">
        <f t="shared" ref="I85:I87" si="62">C85+G85</f>
        <v>5</v>
      </c>
      <c r="J85" s="20">
        <f t="shared" ref="J85:J87" si="63">D85</f>
        <v>3</v>
      </c>
      <c r="K85" s="20">
        <f t="shared" ref="K85:K87" si="64">E85</f>
        <v>1</v>
      </c>
      <c r="L85" s="20"/>
      <c r="M85" s="20" t="s">
        <v>227</v>
      </c>
      <c r="N85" s="20" t="s">
        <v>275</v>
      </c>
      <c r="O85" s="20"/>
      <c r="P85" s="34" t="s">
        <v>257</v>
      </c>
      <c r="Q85" s="36" t="s">
        <v>280</v>
      </c>
      <c r="T85" s="35"/>
      <c r="U85" s="35"/>
      <c r="V85" s="35"/>
      <c r="W85" s="36"/>
      <c r="X85" s="36"/>
      <c r="Y85" s="36"/>
    </row>
    <row r="86" spans="1:25">
      <c r="A86" s="20">
        <v>21</v>
      </c>
      <c r="B86" s="20">
        <v>3</v>
      </c>
      <c r="C86" s="20">
        <v>3</v>
      </c>
      <c r="D86" s="20">
        <v>3</v>
      </c>
      <c r="E86" s="20">
        <v>1</v>
      </c>
      <c r="F86" s="20">
        <v>3</v>
      </c>
      <c r="G86" s="20">
        <v>2</v>
      </c>
      <c r="H86" s="20">
        <f t="shared" si="61"/>
        <v>6</v>
      </c>
      <c r="I86" s="20">
        <f t="shared" si="62"/>
        <v>5</v>
      </c>
      <c r="J86" s="20">
        <f t="shared" si="63"/>
        <v>3</v>
      </c>
      <c r="K86" s="20">
        <f t="shared" si="64"/>
        <v>1</v>
      </c>
      <c r="L86" s="20"/>
      <c r="M86" s="20" t="s">
        <v>227</v>
      </c>
      <c r="N86" s="20" t="s">
        <v>275</v>
      </c>
      <c r="O86" s="20"/>
      <c r="P86" s="34" t="s">
        <v>257</v>
      </c>
      <c r="Q86" s="36" t="s">
        <v>281</v>
      </c>
      <c r="R86" s="35"/>
      <c r="S86" s="35"/>
      <c r="T86" s="35"/>
      <c r="U86" s="35"/>
      <c r="V86" s="35"/>
      <c r="W86" s="36"/>
      <c r="X86" s="36"/>
      <c r="Y86" s="36"/>
    </row>
    <row r="87" spans="1:25">
      <c r="A87" s="20">
        <v>21</v>
      </c>
      <c r="B87" s="20">
        <v>3</v>
      </c>
      <c r="C87" s="20">
        <v>3</v>
      </c>
      <c r="D87" s="20">
        <v>3</v>
      </c>
      <c r="E87" s="20">
        <v>1</v>
      </c>
      <c r="F87" s="20">
        <v>3</v>
      </c>
      <c r="G87" s="20">
        <v>2</v>
      </c>
      <c r="H87" s="20">
        <f t="shared" si="61"/>
        <v>6</v>
      </c>
      <c r="I87" s="20">
        <f t="shared" si="62"/>
        <v>5</v>
      </c>
      <c r="J87" s="20">
        <f t="shared" si="63"/>
        <v>3</v>
      </c>
      <c r="K87" s="20">
        <f t="shared" si="64"/>
        <v>1</v>
      </c>
      <c r="L87" s="20"/>
      <c r="M87" s="20" t="s">
        <v>227</v>
      </c>
      <c r="N87" s="20" t="s">
        <v>275</v>
      </c>
      <c r="O87" s="20"/>
      <c r="P87" s="34" t="s">
        <v>257</v>
      </c>
      <c r="Q87" s="36" t="s">
        <v>281</v>
      </c>
      <c r="R87" s="35"/>
      <c r="S87" s="35"/>
      <c r="T87" s="35"/>
      <c r="U87" s="35"/>
      <c r="V87" s="35"/>
      <c r="W87" s="36"/>
      <c r="X87" s="36"/>
      <c r="Y87" s="36"/>
    </row>
    <row r="88" spans="1:25">
      <c r="A88" s="20" t="s">
        <v>122</v>
      </c>
      <c r="B88" s="20">
        <v>3</v>
      </c>
      <c r="C88" s="20">
        <v>3</v>
      </c>
      <c r="D88" s="20">
        <v>2</v>
      </c>
      <c r="E88" s="20">
        <v>2</v>
      </c>
      <c r="F88" s="20">
        <v>3</v>
      </c>
      <c r="G88" s="20">
        <v>2</v>
      </c>
      <c r="H88" s="20">
        <f t="shared" si="59"/>
        <v>6</v>
      </c>
      <c r="I88" s="20">
        <f t="shared" si="59"/>
        <v>5</v>
      </c>
      <c r="J88" s="20">
        <f t="shared" si="60"/>
        <v>2</v>
      </c>
      <c r="K88" s="20">
        <f t="shared" si="8"/>
        <v>2</v>
      </c>
      <c r="L88" s="20" t="s">
        <v>250</v>
      </c>
      <c r="M88" s="20" t="s">
        <v>227</v>
      </c>
      <c r="N88" s="20" t="s">
        <v>275</v>
      </c>
      <c r="O88" s="20"/>
      <c r="P88" s="34" t="s">
        <v>257</v>
      </c>
      <c r="Q88" s="36" t="s">
        <v>282</v>
      </c>
      <c r="U88" s="35"/>
      <c r="V88" s="35"/>
    </row>
    <row r="89" spans="1:25">
      <c r="A89" s="20" t="s">
        <v>122</v>
      </c>
      <c r="B89" s="20">
        <v>3</v>
      </c>
      <c r="C89" s="20">
        <v>3</v>
      </c>
      <c r="D89" s="20">
        <v>2</v>
      </c>
      <c r="E89" s="20">
        <v>2</v>
      </c>
      <c r="F89" s="20">
        <v>3</v>
      </c>
      <c r="G89" s="20">
        <v>2</v>
      </c>
      <c r="H89" s="20">
        <f t="shared" ref="H89" si="65">B89+F89</f>
        <v>6</v>
      </c>
      <c r="I89" s="20">
        <f t="shared" ref="I89" si="66">C89+G89</f>
        <v>5</v>
      </c>
      <c r="J89" s="20">
        <f t="shared" ref="J89" si="67">D89</f>
        <v>2</v>
      </c>
      <c r="K89" s="20">
        <f t="shared" ref="K89" si="68">E89</f>
        <v>2</v>
      </c>
      <c r="L89" s="20" t="s">
        <v>92</v>
      </c>
      <c r="M89" s="20" t="s">
        <v>227</v>
      </c>
      <c r="N89" s="20" t="s">
        <v>275</v>
      </c>
      <c r="O89" s="20"/>
      <c r="P89" s="34" t="s">
        <v>257</v>
      </c>
      <c r="Q89" s="36" t="s">
        <v>283</v>
      </c>
      <c r="R89" s="35"/>
      <c r="S89" s="35"/>
      <c r="T89" s="35"/>
      <c r="U89" s="35"/>
    </row>
    <row r="90" spans="1:25">
      <c r="A90" s="20" t="s">
        <v>122</v>
      </c>
      <c r="B90" s="20">
        <v>3</v>
      </c>
      <c r="C90" s="20">
        <v>3</v>
      </c>
      <c r="D90" s="20">
        <v>2</v>
      </c>
      <c r="E90" s="20">
        <v>2</v>
      </c>
      <c r="F90" s="20">
        <v>3</v>
      </c>
      <c r="G90" s="20">
        <v>2</v>
      </c>
      <c r="H90" s="20">
        <f t="shared" ref="H90" si="69">B90+F90</f>
        <v>6</v>
      </c>
      <c r="I90" s="20">
        <f t="shared" ref="I90" si="70">C90+G90</f>
        <v>5</v>
      </c>
      <c r="J90" s="20">
        <f t="shared" ref="J90" si="71">D90</f>
        <v>2</v>
      </c>
      <c r="K90" s="20">
        <f t="shared" ref="K90" si="72">E90</f>
        <v>2</v>
      </c>
      <c r="L90" s="20"/>
      <c r="M90" s="20" t="s">
        <v>227</v>
      </c>
      <c r="N90" s="20" t="s">
        <v>275</v>
      </c>
      <c r="O90" s="20"/>
      <c r="P90" s="34" t="s">
        <v>257</v>
      </c>
      <c r="Q90" s="36" t="s">
        <v>284</v>
      </c>
      <c r="R90" s="35"/>
      <c r="S90" s="35"/>
      <c r="T90" s="35"/>
      <c r="U90" s="35"/>
    </row>
    <row r="91" spans="1:25">
      <c r="A91" s="20" t="s">
        <v>122</v>
      </c>
      <c r="B91" s="20">
        <v>3</v>
      </c>
      <c r="C91" s="20">
        <v>3</v>
      </c>
      <c r="D91" s="20">
        <v>2</v>
      </c>
      <c r="E91" s="20">
        <v>2</v>
      </c>
      <c r="F91" s="20">
        <v>3</v>
      </c>
      <c r="G91" s="20">
        <v>2</v>
      </c>
      <c r="H91" s="20">
        <f t="shared" ref="H91" si="73">B91+F91</f>
        <v>6</v>
      </c>
      <c r="I91" s="20">
        <f t="shared" ref="I91" si="74">C91+G91</f>
        <v>5</v>
      </c>
      <c r="J91" s="20">
        <f t="shared" ref="J91" si="75">D91</f>
        <v>2</v>
      </c>
      <c r="K91" s="20">
        <f t="shared" ref="K91" si="76">E91</f>
        <v>2</v>
      </c>
      <c r="L91" s="20"/>
      <c r="M91" s="20" t="s">
        <v>227</v>
      </c>
      <c r="N91" s="20"/>
      <c r="O91" s="20"/>
      <c r="P91" s="34" t="s">
        <v>257</v>
      </c>
      <c r="Q91" s="36" t="s">
        <v>362</v>
      </c>
      <c r="R91" s="35"/>
      <c r="S91" s="35"/>
      <c r="T91" s="35"/>
      <c r="U91" s="35"/>
    </row>
    <row r="92" spans="1:25">
      <c r="A92" s="20" t="s">
        <v>121</v>
      </c>
      <c r="B92" s="20">
        <v>3</v>
      </c>
      <c r="C92" s="20">
        <v>3</v>
      </c>
      <c r="D92" s="20">
        <v>2</v>
      </c>
      <c r="E92" s="20">
        <v>3</v>
      </c>
      <c r="F92" s="20">
        <v>3</v>
      </c>
      <c r="G92" s="20">
        <v>2</v>
      </c>
      <c r="H92" s="20">
        <f t="shared" si="59"/>
        <v>6</v>
      </c>
      <c r="I92" s="20">
        <f t="shared" si="59"/>
        <v>5</v>
      </c>
      <c r="J92" s="20">
        <f t="shared" si="60"/>
        <v>2</v>
      </c>
      <c r="K92" s="20">
        <f t="shared" si="8"/>
        <v>3</v>
      </c>
      <c r="L92" s="20" t="s">
        <v>235</v>
      </c>
      <c r="M92" s="20" t="s">
        <v>227</v>
      </c>
      <c r="N92" s="20" t="s">
        <v>275</v>
      </c>
      <c r="O92" s="20"/>
      <c r="P92" s="34" t="s">
        <v>257</v>
      </c>
      <c r="Q92" s="36" t="s">
        <v>285</v>
      </c>
    </row>
    <row r="93" spans="1:25">
      <c r="A93" s="20" t="s">
        <v>121</v>
      </c>
      <c r="B93" s="20">
        <v>3</v>
      </c>
      <c r="C93" s="20">
        <v>3</v>
      </c>
      <c r="D93" s="20">
        <v>2</v>
      </c>
      <c r="E93" s="20">
        <v>3</v>
      </c>
      <c r="F93" s="20">
        <v>3</v>
      </c>
      <c r="G93" s="20">
        <v>2</v>
      </c>
      <c r="H93" s="20">
        <f t="shared" ref="H93" si="77">B93+F93</f>
        <v>6</v>
      </c>
      <c r="I93" s="20">
        <f t="shared" ref="I93" si="78">C93+G93</f>
        <v>5</v>
      </c>
      <c r="J93" s="20">
        <f t="shared" ref="J93" si="79">D93</f>
        <v>2</v>
      </c>
      <c r="K93" s="20">
        <f t="shared" ref="K93" si="80">E93</f>
        <v>3</v>
      </c>
      <c r="L93" s="20" t="s">
        <v>96</v>
      </c>
      <c r="M93" s="20" t="s">
        <v>227</v>
      </c>
      <c r="N93" s="20" t="s">
        <v>275</v>
      </c>
      <c r="O93" s="20"/>
      <c r="P93" s="34" t="s">
        <v>257</v>
      </c>
      <c r="Q93" s="36" t="s">
        <v>286</v>
      </c>
      <c r="R93" s="35"/>
      <c r="S93" s="35"/>
      <c r="T93" s="35"/>
      <c r="U93" s="35"/>
    </row>
    <row r="94" spans="1:25">
      <c r="A94" s="20" t="s">
        <v>121</v>
      </c>
      <c r="B94" s="20">
        <v>3</v>
      </c>
      <c r="C94" s="20">
        <v>3</v>
      </c>
      <c r="D94" s="20">
        <v>2</v>
      </c>
      <c r="E94" s="20">
        <v>3</v>
      </c>
      <c r="F94" s="20">
        <v>3</v>
      </c>
      <c r="G94" s="20">
        <v>2</v>
      </c>
      <c r="H94" s="20">
        <f t="shared" ref="H94:H96" si="81">B94+F94</f>
        <v>6</v>
      </c>
      <c r="I94" s="20">
        <f t="shared" ref="I94:I96" si="82">C94+G94</f>
        <v>5</v>
      </c>
      <c r="J94" s="20">
        <f t="shared" ref="J94:J96" si="83">D94</f>
        <v>2</v>
      </c>
      <c r="K94" s="20">
        <f t="shared" ref="K94:K96" si="84">E94</f>
        <v>3</v>
      </c>
      <c r="L94" s="20"/>
      <c r="M94" s="20" t="s">
        <v>227</v>
      </c>
      <c r="N94" s="20" t="s">
        <v>275</v>
      </c>
      <c r="O94" s="20"/>
      <c r="P94" s="34" t="s">
        <v>257</v>
      </c>
      <c r="Q94" s="36" t="s">
        <v>287</v>
      </c>
      <c r="R94" s="35"/>
      <c r="S94" s="35"/>
      <c r="T94" s="35"/>
      <c r="U94" s="35"/>
    </row>
    <row r="95" spans="1:25">
      <c r="A95" s="20" t="s">
        <v>121</v>
      </c>
      <c r="B95" s="20">
        <v>3</v>
      </c>
      <c r="C95" s="20">
        <v>3</v>
      </c>
      <c r="D95" s="20">
        <v>2</v>
      </c>
      <c r="E95" s="20">
        <v>3</v>
      </c>
      <c r="F95" s="20">
        <v>3</v>
      </c>
      <c r="G95" s="20">
        <v>2</v>
      </c>
      <c r="H95" s="20">
        <f t="shared" si="81"/>
        <v>6</v>
      </c>
      <c r="I95" s="20">
        <f t="shared" si="82"/>
        <v>5</v>
      </c>
      <c r="J95" s="20">
        <f t="shared" si="83"/>
        <v>2</v>
      </c>
      <c r="K95" s="20">
        <f t="shared" si="84"/>
        <v>3</v>
      </c>
      <c r="L95" s="20"/>
      <c r="M95" s="20" t="s">
        <v>227</v>
      </c>
      <c r="N95" s="20"/>
      <c r="O95" s="20"/>
      <c r="P95" s="34" t="s">
        <v>257</v>
      </c>
      <c r="Q95" s="36" t="s">
        <v>363</v>
      </c>
      <c r="R95" s="35"/>
      <c r="S95" s="35"/>
      <c r="T95" s="35"/>
      <c r="U95" s="35"/>
    </row>
    <row r="96" spans="1:25">
      <c r="A96" s="20" t="s">
        <v>121</v>
      </c>
      <c r="B96" s="20">
        <v>3</v>
      </c>
      <c r="C96" s="20">
        <v>3</v>
      </c>
      <c r="D96" s="20">
        <v>2</v>
      </c>
      <c r="E96" s="20">
        <v>3</v>
      </c>
      <c r="F96" s="20">
        <v>3</v>
      </c>
      <c r="G96" s="20">
        <v>2</v>
      </c>
      <c r="H96" s="20">
        <f t="shared" si="81"/>
        <v>6</v>
      </c>
      <c r="I96" s="20">
        <f t="shared" si="82"/>
        <v>5</v>
      </c>
      <c r="J96" s="20">
        <f t="shared" si="83"/>
        <v>2</v>
      </c>
      <c r="K96" s="20">
        <f t="shared" si="84"/>
        <v>3</v>
      </c>
      <c r="L96" s="20"/>
      <c r="M96" s="20" t="s">
        <v>227</v>
      </c>
      <c r="N96" s="20"/>
      <c r="O96" s="20"/>
      <c r="P96" s="34" t="s">
        <v>257</v>
      </c>
      <c r="Q96" s="36" t="s">
        <v>364</v>
      </c>
      <c r="R96" s="35"/>
      <c r="S96" s="35"/>
      <c r="T96" s="35"/>
      <c r="U96" s="35"/>
    </row>
    <row r="97" spans="1:23">
      <c r="A97" s="20">
        <v>24</v>
      </c>
      <c r="B97" s="20">
        <v>1</v>
      </c>
      <c r="C97" s="20">
        <v>4</v>
      </c>
      <c r="D97" s="20">
        <v>1</v>
      </c>
      <c r="E97" s="20">
        <v>0</v>
      </c>
      <c r="F97" s="20">
        <v>3</v>
      </c>
      <c r="G97" s="20">
        <v>2</v>
      </c>
      <c r="H97" s="20">
        <f t="shared" si="59"/>
        <v>4</v>
      </c>
      <c r="I97" s="20">
        <f t="shared" si="59"/>
        <v>6</v>
      </c>
      <c r="J97" s="20">
        <f t="shared" si="60"/>
        <v>1</v>
      </c>
      <c r="K97" s="20">
        <f t="shared" si="8"/>
        <v>0</v>
      </c>
      <c r="L97" s="20" t="s">
        <v>251</v>
      </c>
      <c r="M97" s="20" t="s">
        <v>228</v>
      </c>
      <c r="N97" s="20"/>
      <c r="O97" s="20" t="s">
        <v>258</v>
      </c>
      <c r="P97" s="34" t="s">
        <v>257</v>
      </c>
      <c r="Q97" s="36" t="s">
        <v>365</v>
      </c>
      <c r="R97" s="35"/>
      <c r="S97" s="35"/>
    </row>
    <row r="98" spans="1:23">
      <c r="A98" s="20">
        <v>24</v>
      </c>
      <c r="B98" s="20">
        <v>1</v>
      </c>
      <c r="C98" s="20">
        <v>4</v>
      </c>
      <c r="D98" s="20">
        <v>1</v>
      </c>
      <c r="E98" s="20">
        <v>0</v>
      </c>
      <c r="F98" s="20">
        <v>3</v>
      </c>
      <c r="G98" s="20">
        <v>2</v>
      </c>
      <c r="H98" s="20">
        <f t="shared" ref="H98:H99" si="85">B98+F98</f>
        <v>4</v>
      </c>
      <c r="I98" s="20">
        <f t="shared" ref="I98:I99" si="86">C98+G98</f>
        <v>6</v>
      </c>
      <c r="J98" s="20">
        <f t="shared" ref="J98:J99" si="87">D98</f>
        <v>1</v>
      </c>
      <c r="K98" s="20">
        <f t="shared" ref="K98:K99" si="88">E98</f>
        <v>0</v>
      </c>
      <c r="L98" s="20"/>
      <c r="M98" s="20" t="s">
        <v>228</v>
      </c>
      <c r="N98" s="20"/>
      <c r="O98" s="20"/>
      <c r="P98" s="34" t="s">
        <v>257</v>
      </c>
      <c r="Q98" s="36" t="s">
        <v>366</v>
      </c>
      <c r="R98" s="35"/>
      <c r="S98" s="35"/>
      <c r="T98" s="36"/>
      <c r="U98" s="36"/>
    </row>
    <row r="99" spans="1:23">
      <c r="A99" s="20">
        <v>24</v>
      </c>
      <c r="B99" s="20">
        <v>1</v>
      </c>
      <c r="C99" s="20">
        <v>4</v>
      </c>
      <c r="D99" s="20">
        <v>1</v>
      </c>
      <c r="E99" s="20">
        <v>0</v>
      </c>
      <c r="F99" s="20">
        <v>3</v>
      </c>
      <c r="G99" s="20">
        <v>2</v>
      </c>
      <c r="H99" s="20">
        <f t="shared" si="85"/>
        <v>4</v>
      </c>
      <c r="I99" s="20">
        <f t="shared" si="86"/>
        <v>6</v>
      </c>
      <c r="J99" s="20">
        <f t="shared" si="87"/>
        <v>1</v>
      </c>
      <c r="K99" s="20">
        <f t="shared" si="88"/>
        <v>0</v>
      </c>
      <c r="L99" s="20"/>
      <c r="M99" s="20" t="s">
        <v>228</v>
      </c>
      <c r="N99" s="20"/>
      <c r="O99" s="20"/>
      <c r="P99" s="34" t="s">
        <v>257</v>
      </c>
      <c r="Q99" s="36" t="s">
        <v>367</v>
      </c>
      <c r="R99" s="35"/>
      <c r="S99" s="35"/>
      <c r="T99" s="36"/>
      <c r="U99" s="36"/>
    </row>
    <row r="100" spans="1:23">
      <c r="A100" s="20">
        <v>25</v>
      </c>
      <c r="B100" s="20">
        <v>2</v>
      </c>
      <c r="C100" s="20">
        <v>4</v>
      </c>
      <c r="D100" s="20">
        <v>3</v>
      </c>
      <c r="E100" s="20">
        <v>0</v>
      </c>
      <c r="F100" s="20">
        <v>3</v>
      </c>
      <c r="G100" s="20">
        <v>2</v>
      </c>
      <c r="H100" s="20">
        <f t="shared" si="59"/>
        <v>5</v>
      </c>
      <c r="I100" s="20">
        <f t="shared" si="59"/>
        <v>6</v>
      </c>
      <c r="J100" s="20">
        <f t="shared" si="60"/>
        <v>3</v>
      </c>
      <c r="K100" s="20">
        <f t="shared" si="8"/>
        <v>0</v>
      </c>
      <c r="L100" s="20"/>
      <c r="M100" s="20" t="s">
        <v>228</v>
      </c>
      <c r="N100" s="20" t="s">
        <v>275</v>
      </c>
      <c r="O100" s="20" t="s">
        <v>258</v>
      </c>
      <c r="P100" s="34" t="s">
        <v>257</v>
      </c>
      <c r="Q100" s="36" t="s">
        <v>288</v>
      </c>
      <c r="R100" s="35"/>
      <c r="T100" s="35"/>
      <c r="U100" s="35"/>
    </row>
    <row r="101" spans="1:23">
      <c r="A101" s="20" t="s">
        <v>120</v>
      </c>
      <c r="B101" s="20">
        <v>2</v>
      </c>
      <c r="C101" s="20">
        <v>4</v>
      </c>
      <c r="D101" s="20">
        <v>2</v>
      </c>
      <c r="E101" s="20">
        <v>2</v>
      </c>
      <c r="F101" s="20">
        <v>3</v>
      </c>
      <c r="G101" s="20">
        <v>2</v>
      </c>
      <c r="H101" s="20">
        <f t="shared" si="59"/>
        <v>5</v>
      </c>
      <c r="I101" s="20">
        <f t="shared" si="59"/>
        <v>6</v>
      </c>
      <c r="J101" s="20">
        <f t="shared" si="60"/>
        <v>2</v>
      </c>
      <c r="K101" s="20">
        <f t="shared" si="8"/>
        <v>2</v>
      </c>
      <c r="L101" s="20"/>
      <c r="M101" s="20" t="s">
        <v>228</v>
      </c>
      <c r="N101" s="20" t="s">
        <v>264</v>
      </c>
      <c r="O101" s="20"/>
      <c r="P101" s="34" t="s">
        <v>268</v>
      </c>
      <c r="Q101" s="35"/>
      <c r="R101" s="35"/>
      <c r="S101" s="35"/>
      <c r="T101" s="35"/>
      <c r="U101" s="35"/>
    </row>
    <row r="102" spans="1:23">
      <c r="A102" s="20">
        <v>27</v>
      </c>
      <c r="B102" s="20">
        <v>4</v>
      </c>
      <c r="C102" s="20">
        <v>4</v>
      </c>
      <c r="D102" s="20">
        <v>4</v>
      </c>
      <c r="E102" s="20">
        <v>1</v>
      </c>
      <c r="F102" s="20">
        <v>3</v>
      </c>
      <c r="G102" s="20">
        <v>2</v>
      </c>
      <c r="H102" s="20">
        <f t="shared" si="59"/>
        <v>7</v>
      </c>
      <c r="I102" s="20">
        <f t="shared" si="59"/>
        <v>6</v>
      </c>
      <c r="J102" s="20">
        <f t="shared" si="60"/>
        <v>4</v>
      </c>
      <c r="K102" s="20">
        <f t="shared" si="8"/>
        <v>1</v>
      </c>
      <c r="L102" s="20" t="s">
        <v>110</v>
      </c>
      <c r="M102" s="20" t="s">
        <v>229</v>
      </c>
      <c r="N102" s="20"/>
      <c r="O102" s="20" t="s">
        <v>260</v>
      </c>
      <c r="P102" s="34" t="s">
        <v>257</v>
      </c>
      <c r="Q102" s="30" t="s">
        <v>368</v>
      </c>
      <c r="R102" s="35"/>
      <c r="S102" s="35"/>
      <c r="T102" s="35"/>
      <c r="W102" s="35"/>
    </row>
    <row r="103" spans="1:23">
      <c r="A103" s="20">
        <v>27</v>
      </c>
      <c r="B103" s="20">
        <v>4</v>
      </c>
      <c r="C103" s="20">
        <v>4</v>
      </c>
      <c r="D103" s="20">
        <v>4</v>
      </c>
      <c r="E103" s="20">
        <v>1</v>
      </c>
      <c r="F103" s="20">
        <v>3</v>
      </c>
      <c r="G103" s="20">
        <v>2</v>
      </c>
      <c r="H103" s="20">
        <f t="shared" ref="H103" si="89">B103+F103</f>
        <v>7</v>
      </c>
      <c r="I103" s="20">
        <f t="shared" ref="I103" si="90">C103+G103</f>
        <v>6</v>
      </c>
      <c r="J103" s="20">
        <f t="shared" ref="J103" si="91">D103</f>
        <v>4</v>
      </c>
      <c r="K103" s="20">
        <f t="shared" ref="K103" si="92">E103</f>
        <v>1</v>
      </c>
      <c r="L103" s="20" t="s">
        <v>111</v>
      </c>
      <c r="M103" s="20" t="s">
        <v>229</v>
      </c>
      <c r="N103" s="20" t="s">
        <v>275</v>
      </c>
      <c r="P103" s="34" t="s">
        <v>257</v>
      </c>
      <c r="Q103" s="36" t="s">
        <v>261</v>
      </c>
      <c r="R103" s="35"/>
      <c r="S103" s="35"/>
      <c r="T103" s="35"/>
      <c r="U103" s="35"/>
    </row>
    <row r="104" spans="1:23">
      <c r="A104" s="20">
        <v>27</v>
      </c>
      <c r="B104" s="20">
        <v>4</v>
      </c>
      <c r="C104" s="20">
        <v>4</v>
      </c>
      <c r="D104" s="20">
        <v>4</v>
      </c>
      <c r="E104" s="20">
        <v>1</v>
      </c>
      <c r="F104" s="20">
        <v>3</v>
      </c>
      <c r="G104" s="20">
        <v>2</v>
      </c>
      <c r="H104" s="20">
        <f t="shared" ref="H104" si="93">B104+F104</f>
        <v>7</v>
      </c>
      <c r="I104" s="20">
        <f t="shared" ref="I104" si="94">C104+G104</f>
        <v>6</v>
      </c>
      <c r="J104" s="20">
        <f t="shared" ref="J104" si="95">D104</f>
        <v>4</v>
      </c>
      <c r="K104" s="20">
        <f t="shared" ref="K104" si="96">E104</f>
        <v>1</v>
      </c>
      <c r="L104" s="20"/>
      <c r="M104" s="20" t="s">
        <v>229</v>
      </c>
      <c r="N104" s="20" t="s">
        <v>275</v>
      </c>
      <c r="P104" s="34" t="s">
        <v>257</v>
      </c>
      <c r="Q104" s="36" t="s">
        <v>289</v>
      </c>
      <c r="R104" s="35"/>
      <c r="S104" s="35"/>
      <c r="T104" s="35"/>
      <c r="U104" s="35"/>
    </row>
    <row r="105" spans="1:23">
      <c r="A105" s="20" t="s">
        <v>119</v>
      </c>
      <c r="B105" s="20">
        <v>4</v>
      </c>
      <c r="C105" s="20">
        <v>4</v>
      </c>
      <c r="D105" s="20">
        <v>3</v>
      </c>
      <c r="E105" s="20">
        <v>2</v>
      </c>
      <c r="F105" s="20">
        <v>3</v>
      </c>
      <c r="G105" s="20">
        <v>2</v>
      </c>
      <c r="H105" s="20">
        <f t="shared" si="59"/>
        <v>7</v>
      </c>
      <c r="I105" s="20">
        <f t="shared" si="59"/>
        <v>6</v>
      </c>
      <c r="J105" s="20">
        <f t="shared" si="60"/>
        <v>3</v>
      </c>
      <c r="K105" s="20">
        <f t="shared" si="60"/>
        <v>2</v>
      </c>
      <c r="L105" s="20" t="s">
        <v>116</v>
      </c>
      <c r="M105" s="20" t="s">
        <v>229</v>
      </c>
      <c r="N105" s="20"/>
      <c r="O105" s="20" t="s">
        <v>258</v>
      </c>
      <c r="P105" s="34" t="s">
        <v>257</v>
      </c>
      <c r="Q105" s="36" t="s">
        <v>369</v>
      </c>
    </row>
    <row r="106" spans="1:23">
      <c r="A106" s="20" t="s">
        <v>119</v>
      </c>
      <c r="B106" s="20">
        <v>4</v>
      </c>
      <c r="C106" s="20">
        <v>4</v>
      </c>
      <c r="D106" s="20">
        <v>3</v>
      </c>
      <c r="E106" s="20">
        <v>2</v>
      </c>
      <c r="F106" s="20">
        <v>3</v>
      </c>
      <c r="G106" s="20">
        <v>2</v>
      </c>
      <c r="H106" s="20">
        <f t="shared" ref="H106:H109" si="97">B106+F106</f>
        <v>7</v>
      </c>
      <c r="I106" s="20">
        <f t="shared" ref="I106:I109" si="98">C106+G106</f>
        <v>6</v>
      </c>
      <c r="J106" s="20">
        <f t="shared" ref="J106:J109" si="99">D106</f>
        <v>3</v>
      </c>
      <c r="K106" s="20">
        <f t="shared" ref="K106:K109" si="100">E106</f>
        <v>2</v>
      </c>
      <c r="L106" s="20" t="s">
        <v>237</v>
      </c>
      <c r="M106" s="20" t="s">
        <v>229</v>
      </c>
      <c r="N106" s="20"/>
      <c r="O106" s="20"/>
      <c r="P106" s="34" t="s">
        <v>257</v>
      </c>
      <c r="Q106" s="36" t="s">
        <v>370</v>
      </c>
      <c r="R106" s="35"/>
      <c r="S106" s="35"/>
      <c r="T106" s="35"/>
      <c r="U106" s="35"/>
    </row>
    <row r="107" spans="1:23">
      <c r="A107" s="20" t="s">
        <v>119</v>
      </c>
      <c r="B107" s="20">
        <v>4</v>
      </c>
      <c r="C107" s="20">
        <v>4</v>
      </c>
      <c r="D107" s="20">
        <v>3</v>
      </c>
      <c r="E107" s="20">
        <v>2</v>
      </c>
      <c r="F107" s="20">
        <v>3</v>
      </c>
      <c r="G107" s="20">
        <v>2</v>
      </c>
      <c r="H107" s="20">
        <f t="shared" si="97"/>
        <v>7</v>
      </c>
      <c r="I107" s="20">
        <f t="shared" si="98"/>
        <v>6</v>
      </c>
      <c r="J107" s="20">
        <f t="shared" si="99"/>
        <v>3</v>
      </c>
      <c r="K107" s="20">
        <f t="shared" si="100"/>
        <v>2</v>
      </c>
      <c r="L107" s="20" t="s">
        <v>236</v>
      </c>
      <c r="M107" s="20" t="s">
        <v>229</v>
      </c>
      <c r="N107" s="20"/>
      <c r="O107" s="20"/>
      <c r="P107" s="34" t="s">
        <v>257</v>
      </c>
      <c r="Q107" s="36" t="s">
        <v>371</v>
      </c>
      <c r="R107" s="35"/>
      <c r="S107" s="35"/>
      <c r="T107" s="35"/>
      <c r="U107" s="35"/>
    </row>
    <row r="108" spans="1:23">
      <c r="A108" s="20" t="s">
        <v>119</v>
      </c>
      <c r="B108" s="20">
        <v>4</v>
      </c>
      <c r="C108" s="20">
        <v>4</v>
      </c>
      <c r="D108" s="20">
        <v>3</v>
      </c>
      <c r="E108" s="20">
        <v>2</v>
      </c>
      <c r="F108" s="20">
        <v>3</v>
      </c>
      <c r="G108" s="20">
        <v>2</v>
      </c>
      <c r="H108" s="20">
        <f t="shared" si="97"/>
        <v>7</v>
      </c>
      <c r="I108" s="20">
        <f t="shared" si="98"/>
        <v>6</v>
      </c>
      <c r="J108" s="20">
        <f t="shared" si="99"/>
        <v>3</v>
      </c>
      <c r="K108" s="20">
        <f t="shared" si="100"/>
        <v>2</v>
      </c>
      <c r="L108" s="20" t="s">
        <v>238</v>
      </c>
      <c r="M108" s="20" t="s">
        <v>229</v>
      </c>
      <c r="N108" s="20"/>
      <c r="O108" s="20"/>
      <c r="P108" s="34" t="s">
        <v>257</v>
      </c>
      <c r="Q108" s="36" t="s">
        <v>372</v>
      </c>
      <c r="R108" s="35"/>
      <c r="S108" s="35"/>
      <c r="T108" s="35"/>
      <c r="U108" s="35"/>
    </row>
    <row r="109" spans="1:23">
      <c r="A109" s="20" t="s">
        <v>119</v>
      </c>
      <c r="B109" s="20">
        <v>4</v>
      </c>
      <c r="C109" s="20">
        <v>4</v>
      </c>
      <c r="D109" s="20">
        <v>3</v>
      </c>
      <c r="E109" s="20">
        <v>2</v>
      </c>
      <c r="F109" s="20">
        <v>3</v>
      </c>
      <c r="G109" s="20">
        <v>2</v>
      </c>
      <c r="H109" s="20">
        <f t="shared" si="97"/>
        <v>7</v>
      </c>
      <c r="I109" s="20">
        <f t="shared" si="98"/>
        <v>6</v>
      </c>
      <c r="J109" s="20">
        <f t="shared" si="99"/>
        <v>3</v>
      </c>
      <c r="K109" s="20">
        <f t="shared" si="100"/>
        <v>2</v>
      </c>
      <c r="L109" s="20" t="s">
        <v>239</v>
      </c>
      <c r="M109" s="20" t="s">
        <v>229</v>
      </c>
      <c r="N109" s="20"/>
      <c r="O109" s="20"/>
      <c r="P109" s="34" t="s">
        <v>257</v>
      </c>
      <c r="Q109" s="36" t="s">
        <v>380</v>
      </c>
      <c r="R109" s="35"/>
      <c r="S109" s="35"/>
      <c r="T109" s="35"/>
      <c r="U109" s="35"/>
    </row>
    <row r="110" spans="1:23">
      <c r="A110" s="20" t="s">
        <v>119</v>
      </c>
      <c r="B110" s="20">
        <v>4</v>
      </c>
      <c r="C110" s="20">
        <v>4</v>
      </c>
      <c r="D110" s="20">
        <v>3</v>
      </c>
      <c r="E110" s="20">
        <v>2</v>
      </c>
      <c r="F110" s="20">
        <v>3</v>
      </c>
      <c r="G110" s="20">
        <v>2</v>
      </c>
      <c r="H110" s="20">
        <f t="shared" ref="H110:H112" si="101">B110+F110</f>
        <v>7</v>
      </c>
      <c r="I110" s="20">
        <f t="shared" ref="I110:I112" si="102">C110+G110</f>
        <v>6</v>
      </c>
      <c r="J110" s="20">
        <f t="shared" ref="J110:J112" si="103">D110</f>
        <v>3</v>
      </c>
      <c r="K110" s="20">
        <f t="shared" ref="K110:K112" si="104">E110</f>
        <v>2</v>
      </c>
      <c r="L110" s="20"/>
      <c r="M110" s="20" t="s">
        <v>229</v>
      </c>
      <c r="N110" s="20"/>
      <c r="O110" s="20"/>
      <c r="P110" s="34" t="s">
        <v>257</v>
      </c>
      <c r="Q110" s="36" t="s">
        <v>239</v>
      </c>
      <c r="R110" s="35"/>
      <c r="S110" s="35"/>
      <c r="T110" s="35"/>
      <c r="U110" s="35"/>
    </row>
    <row r="111" spans="1:23">
      <c r="A111" s="20" t="s">
        <v>119</v>
      </c>
      <c r="B111" s="20">
        <v>4</v>
      </c>
      <c r="C111" s="20">
        <v>4</v>
      </c>
      <c r="D111" s="20">
        <v>3</v>
      </c>
      <c r="E111" s="20">
        <v>2</v>
      </c>
      <c r="F111" s="20">
        <v>3</v>
      </c>
      <c r="G111" s="20">
        <v>2</v>
      </c>
      <c r="H111" s="20">
        <f t="shared" si="101"/>
        <v>7</v>
      </c>
      <c r="I111" s="20">
        <f t="shared" si="102"/>
        <v>6</v>
      </c>
      <c r="J111" s="20">
        <f t="shared" si="103"/>
        <v>3</v>
      </c>
      <c r="K111" s="20">
        <f t="shared" si="104"/>
        <v>2</v>
      </c>
      <c r="L111" s="20"/>
      <c r="M111" s="20" t="s">
        <v>229</v>
      </c>
      <c r="N111" s="20"/>
      <c r="O111" s="20"/>
      <c r="P111" s="34" t="s">
        <v>257</v>
      </c>
      <c r="Q111" s="36" t="s">
        <v>238</v>
      </c>
      <c r="R111" s="35"/>
      <c r="S111" s="35"/>
      <c r="T111" s="35"/>
      <c r="U111" s="35"/>
    </row>
    <row r="112" spans="1:23">
      <c r="A112" s="20" t="s">
        <v>119</v>
      </c>
      <c r="B112" s="20">
        <v>4</v>
      </c>
      <c r="C112" s="20">
        <v>4</v>
      </c>
      <c r="D112" s="20">
        <v>3</v>
      </c>
      <c r="E112" s="20">
        <v>2</v>
      </c>
      <c r="F112" s="20">
        <v>3</v>
      </c>
      <c r="G112" s="20">
        <v>2</v>
      </c>
      <c r="H112" s="20">
        <f t="shared" si="101"/>
        <v>7</v>
      </c>
      <c r="I112" s="20">
        <f t="shared" si="102"/>
        <v>6</v>
      </c>
      <c r="J112" s="20">
        <f t="shared" si="103"/>
        <v>3</v>
      </c>
      <c r="K112" s="20">
        <f t="shared" si="104"/>
        <v>2</v>
      </c>
      <c r="L112" s="20"/>
      <c r="M112" s="20" t="s">
        <v>229</v>
      </c>
      <c r="N112" s="20"/>
      <c r="O112" s="20"/>
      <c r="P112" s="34" t="s">
        <v>257</v>
      </c>
      <c r="Q112" s="36" t="s">
        <v>236</v>
      </c>
      <c r="R112" s="35"/>
      <c r="S112" s="35"/>
      <c r="T112" s="35"/>
      <c r="U112" s="35"/>
    </row>
    <row r="113" spans="1:21">
      <c r="A113" s="20">
        <v>29</v>
      </c>
      <c r="B113" s="20">
        <v>3</v>
      </c>
      <c r="C113" s="20">
        <v>4</v>
      </c>
      <c r="D113" s="20">
        <v>3</v>
      </c>
      <c r="E113" s="20">
        <v>2</v>
      </c>
      <c r="F113" s="20">
        <v>3</v>
      </c>
      <c r="G113" s="20">
        <v>2</v>
      </c>
      <c r="H113" s="20">
        <f t="shared" si="59"/>
        <v>6</v>
      </c>
      <c r="I113" s="20">
        <f t="shared" si="59"/>
        <v>6</v>
      </c>
      <c r="J113" s="20">
        <f t="shared" si="60"/>
        <v>3</v>
      </c>
      <c r="K113" s="20">
        <f t="shared" si="60"/>
        <v>2</v>
      </c>
      <c r="L113" s="21" t="s">
        <v>240</v>
      </c>
      <c r="M113" s="20" t="s">
        <v>229</v>
      </c>
      <c r="N113" s="20"/>
      <c r="O113" s="20" t="s">
        <v>260</v>
      </c>
      <c r="P113" s="34" t="s">
        <v>257</v>
      </c>
      <c r="Q113" s="36" t="s">
        <v>373</v>
      </c>
      <c r="U113" s="35"/>
    </row>
    <row r="114" spans="1:21">
      <c r="A114" s="20">
        <v>29</v>
      </c>
      <c r="B114" s="20">
        <v>3</v>
      </c>
      <c r="C114" s="20">
        <v>4</v>
      </c>
      <c r="D114" s="20">
        <v>3</v>
      </c>
      <c r="E114" s="20">
        <v>2</v>
      </c>
      <c r="F114" s="20">
        <v>3</v>
      </c>
      <c r="G114" s="20">
        <v>2</v>
      </c>
      <c r="H114" s="20">
        <f t="shared" ref="H114" si="105">B114+F114</f>
        <v>6</v>
      </c>
      <c r="I114" s="20">
        <f t="shared" ref="I114" si="106">C114+G114</f>
        <v>6</v>
      </c>
      <c r="J114" s="20">
        <f t="shared" ref="J114" si="107">D114</f>
        <v>3</v>
      </c>
      <c r="K114" s="20">
        <f t="shared" ref="K114" si="108">E114</f>
        <v>2</v>
      </c>
      <c r="L114" s="22" t="s">
        <v>252</v>
      </c>
      <c r="M114" s="20" t="s">
        <v>229</v>
      </c>
      <c r="N114" s="20"/>
      <c r="O114" s="20"/>
      <c r="P114" s="34" t="s">
        <v>257</v>
      </c>
      <c r="Q114" s="36" t="s">
        <v>374</v>
      </c>
      <c r="R114" s="35"/>
      <c r="S114" s="35"/>
      <c r="T114" s="35"/>
      <c r="U114" s="35"/>
    </row>
    <row r="115" spans="1:21">
      <c r="A115" s="20">
        <v>29</v>
      </c>
      <c r="B115" s="20">
        <v>3</v>
      </c>
      <c r="C115" s="20">
        <v>4</v>
      </c>
      <c r="D115" s="20">
        <v>3</v>
      </c>
      <c r="E115" s="20">
        <v>2</v>
      </c>
      <c r="F115" s="20">
        <v>3</v>
      </c>
      <c r="G115" s="20">
        <v>2</v>
      </c>
      <c r="H115" s="20">
        <f t="shared" ref="H115:H116" si="109">B115+F115</f>
        <v>6</v>
      </c>
      <c r="I115" s="20">
        <f t="shared" ref="I115:I116" si="110">C115+G115</f>
        <v>6</v>
      </c>
      <c r="J115" s="20">
        <f t="shared" ref="J115:J116" si="111">D115</f>
        <v>3</v>
      </c>
      <c r="K115" s="20">
        <f t="shared" ref="K115:K116" si="112">E115</f>
        <v>2</v>
      </c>
      <c r="L115" s="22"/>
      <c r="M115" s="20" t="s">
        <v>229</v>
      </c>
      <c r="N115" s="20" t="s">
        <v>275</v>
      </c>
      <c r="O115" s="20"/>
      <c r="P115" s="34" t="s">
        <v>257</v>
      </c>
      <c r="Q115" s="36" t="s">
        <v>252</v>
      </c>
      <c r="R115" s="35"/>
      <c r="S115" s="35"/>
      <c r="T115" s="35"/>
      <c r="U115" s="35"/>
    </row>
    <row r="116" spans="1:21">
      <c r="A116" s="20">
        <v>29</v>
      </c>
      <c r="B116" s="20">
        <v>3</v>
      </c>
      <c r="C116" s="20">
        <v>4</v>
      </c>
      <c r="D116" s="20">
        <v>3</v>
      </c>
      <c r="E116" s="20">
        <v>2</v>
      </c>
      <c r="F116" s="20">
        <v>3</v>
      </c>
      <c r="G116" s="20">
        <v>2</v>
      </c>
      <c r="H116" s="20">
        <f t="shared" si="109"/>
        <v>6</v>
      </c>
      <c r="I116" s="20">
        <f t="shared" si="110"/>
        <v>6</v>
      </c>
      <c r="J116" s="20">
        <f t="shared" si="111"/>
        <v>3</v>
      </c>
      <c r="K116" s="20">
        <f t="shared" si="112"/>
        <v>2</v>
      </c>
      <c r="L116" s="22"/>
      <c r="M116" s="20" t="s">
        <v>229</v>
      </c>
      <c r="N116" s="20" t="s">
        <v>275</v>
      </c>
      <c r="O116" s="20"/>
      <c r="P116" s="34" t="s">
        <v>257</v>
      </c>
      <c r="Q116" s="36" t="s">
        <v>262</v>
      </c>
      <c r="R116" s="35"/>
      <c r="S116" s="35"/>
      <c r="T116" s="35"/>
      <c r="U116" s="35"/>
    </row>
    <row r="117" spans="1:21">
      <c r="A117" s="20">
        <v>30</v>
      </c>
      <c r="B117" s="20">
        <v>3</v>
      </c>
      <c r="C117" s="20">
        <v>3</v>
      </c>
      <c r="D117" s="20">
        <v>4</v>
      </c>
      <c r="E117" s="20">
        <v>0</v>
      </c>
      <c r="F117" s="20">
        <v>3</v>
      </c>
      <c r="G117" s="20">
        <v>2</v>
      </c>
      <c r="H117" s="20">
        <f t="shared" si="59"/>
        <v>6</v>
      </c>
      <c r="I117" s="20">
        <f t="shared" si="59"/>
        <v>5</v>
      </c>
      <c r="J117" s="20">
        <f t="shared" si="60"/>
        <v>4</v>
      </c>
      <c r="K117" s="20">
        <f t="shared" si="60"/>
        <v>0</v>
      </c>
      <c r="L117" s="20" t="s">
        <v>118</v>
      </c>
      <c r="M117" s="20" t="s">
        <v>227</v>
      </c>
      <c r="N117" s="20" t="s">
        <v>264</v>
      </c>
      <c r="O117" s="20" t="s">
        <v>263</v>
      </c>
      <c r="P117" s="34" t="s">
        <v>268</v>
      </c>
      <c r="Q117" s="35"/>
      <c r="R117" s="35"/>
      <c r="S117" s="35"/>
      <c r="T117" s="35"/>
      <c r="U117" s="35"/>
    </row>
    <row r="118" spans="1:21">
      <c r="P118" s="35"/>
      <c r="Q118" s="35"/>
      <c r="R118" s="35"/>
      <c r="S118" s="35"/>
      <c r="T118" s="35"/>
      <c r="U118" s="35"/>
    </row>
    <row r="119" spans="1:21">
      <c r="P119" s="35"/>
      <c r="Q119" s="35"/>
      <c r="R119" s="35"/>
      <c r="S119" s="35"/>
      <c r="T119" s="35"/>
      <c r="U119" s="35"/>
    </row>
  </sheetData>
  <phoneticPr fontId="1"/>
  <pageMargins left="0.7" right="0.7" top="0.75" bottom="0.75" header="0.3" footer="0.3"/>
  <pageSetup paperSize="9" scale="4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C488-7E3C-DD44-BAF1-958050FA6A93}">
  <sheetPr>
    <pageSetUpPr fitToPage="1"/>
  </sheetPr>
  <dimension ref="A1:K52"/>
  <sheetViews>
    <sheetView workbookViewId="0">
      <selection activeCell="C66" sqref="C66"/>
    </sheetView>
  </sheetViews>
  <sheetFormatPr baseColWidth="10" defaultRowHeight="20"/>
  <cols>
    <col min="6" max="6" width="57" bestFit="1" customWidth="1"/>
    <col min="7" max="7" width="18" bestFit="1" customWidth="1"/>
    <col min="8" max="9" width="23.140625" bestFit="1" customWidth="1"/>
    <col min="10" max="10" width="21.5703125" bestFit="1" customWidth="1"/>
    <col min="11" max="11" width="21.85546875" bestFit="1" customWidth="1"/>
  </cols>
  <sheetData>
    <row r="1" spans="1:11">
      <c r="A1" s="26" t="s">
        <v>150</v>
      </c>
      <c r="B1" s="26" t="s">
        <v>151</v>
      </c>
      <c r="C1" s="26" t="s">
        <v>152</v>
      </c>
      <c r="D1" s="26" t="s">
        <v>156</v>
      </c>
      <c r="E1" s="26" t="s">
        <v>157</v>
      </c>
      <c r="F1" s="26" t="s">
        <v>153</v>
      </c>
      <c r="G1" s="26" t="s">
        <v>158</v>
      </c>
      <c r="H1" s="26" t="s">
        <v>159</v>
      </c>
      <c r="I1" s="26" t="s">
        <v>160</v>
      </c>
      <c r="J1" s="26" t="s">
        <v>253</v>
      </c>
      <c r="K1" s="26" t="s">
        <v>161</v>
      </c>
    </row>
    <row r="2" spans="1:11">
      <c r="A2" s="27">
        <v>1</v>
      </c>
      <c r="B2" s="27"/>
      <c r="C2" s="27">
        <v>849.86800000000005</v>
      </c>
      <c r="D2" s="27">
        <v>1698.7280000000001</v>
      </c>
      <c r="E2" s="27">
        <v>2E-3</v>
      </c>
      <c r="F2" s="27" t="s">
        <v>162</v>
      </c>
      <c r="G2" s="27" t="s">
        <v>163</v>
      </c>
      <c r="H2" s="27">
        <v>382000</v>
      </c>
      <c r="I2" s="27">
        <v>282000</v>
      </c>
      <c r="J2" s="28">
        <v>39</v>
      </c>
      <c r="K2" s="28">
        <v>37.799999999999997</v>
      </c>
    </row>
    <row r="3" spans="1:11">
      <c r="A3" s="27" t="s">
        <v>154</v>
      </c>
      <c r="B3" s="27"/>
      <c r="C3" s="27">
        <v>930.89499999999998</v>
      </c>
      <c r="D3" s="27">
        <v>1860.7819999999999</v>
      </c>
      <c r="E3" s="27">
        <v>4.0000000000000001E-3</v>
      </c>
      <c r="F3" s="27" t="s">
        <v>164</v>
      </c>
      <c r="G3" s="27" t="s">
        <v>165</v>
      </c>
      <c r="H3" s="27">
        <v>172000</v>
      </c>
      <c r="I3" s="27">
        <v>148000</v>
      </c>
      <c r="J3" s="28">
        <v>17.600000000000001</v>
      </c>
      <c r="K3" s="28">
        <v>19.899999999999999</v>
      </c>
    </row>
    <row r="4" spans="1:11">
      <c r="A4" s="27" t="s">
        <v>155</v>
      </c>
      <c r="B4" s="27"/>
      <c r="C4" s="27"/>
      <c r="D4" s="27"/>
      <c r="E4" s="27"/>
      <c r="F4" s="27"/>
      <c r="G4" s="27"/>
      <c r="H4" s="27">
        <v>120000</v>
      </c>
      <c r="I4" s="27">
        <v>73500</v>
      </c>
      <c r="J4" s="28">
        <v>12.3</v>
      </c>
      <c r="K4" s="28">
        <v>9.9</v>
      </c>
    </row>
    <row r="5" spans="1:11">
      <c r="A5" s="27">
        <v>3</v>
      </c>
      <c r="B5" s="27"/>
      <c r="C5" s="27">
        <v>1011.921</v>
      </c>
      <c r="D5" s="27">
        <v>2022.8340000000001</v>
      </c>
      <c r="E5" s="27">
        <v>3.0000000000000001E-3</v>
      </c>
      <c r="F5" s="27" t="s">
        <v>166</v>
      </c>
      <c r="G5" s="27" t="s">
        <v>167</v>
      </c>
      <c r="H5" s="27">
        <v>146000</v>
      </c>
      <c r="I5" s="27">
        <v>127000</v>
      </c>
      <c r="J5" s="28">
        <v>14.9</v>
      </c>
      <c r="K5" s="28">
        <v>17</v>
      </c>
    </row>
    <row r="6" spans="1:11">
      <c r="A6" s="27">
        <v>4</v>
      </c>
      <c r="B6" s="27"/>
      <c r="C6" s="27">
        <v>1092.9490000000001</v>
      </c>
      <c r="D6" s="27">
        <v>2184.89</v>
      </c>
      <c r="E6" s="27">
        <v>6.0000000000000001E-3</v>
      </c>
      <c r="F6" s="27" t="s">
        <v>168</v>
      </c>
      <c r="G6" s="27" t="s">
        <v>169</v>
      </c>
      <c r="H6" s="27">
        <v>159000</v>
      </c>
      <c r="I6" s="27">
        <v>115000</v>
      </c>
      <c r="J6" s="28">
        <v>16.2</v>
      </c>
      <c r="K6" s="28">
        <v>15.4</v>
      </c>
    </row>
    <row r="7" spans="1:11">
      <c r="A7" s="27">
        <v>5</v>
      </c>
      <c r="B7" s="27"/>
      <c r="C7" s="27">
        <v>1016.441</v>
      </c>
      <c r="D7" s="27">
        <v>2031.874</v>
      </c>
      <c r="E7" s="27">
        <v>6.0000000000000001E-3</v>
      </c>
      <c r="F7" s="27" t="s">
        <v>170</v>
      </c>
      <c r="G7" s="27" t="s">
        <v>171</v>
      </c>
      <c r="H7" s="27">
        <v>34000</v>
      </c>
      <c r="I7" s="27">
        <v>143000</v>
      </c>
      <c r="J7" s="28">
        <v>3.5</v>
      </c>
      <c r="K7" s="28">
        <v>19.2</v>
      </c>
    </row>
    <row r="8" spans="1:11">
      <c r="A8" s="27">
        <v>6</v>
      </c>
      <c r="B8" s="27"/>
      <c r="C8" s="27">
        <v>1097.4670000000001</v>
      </c>
      <c r="D8" s="27">
        <v>2193.9259999999999</v>
      </c>
      <c r="E8" s="27">
        <v>5.0000000000000001E-3</v>
      </c>
      <c r="F8" s="27" t="s">
        <v>172</v>
      </c>
      <c r="G8" s="27" t="s">
        <v>173</v>
      </c>
      <c r="H8" s="27">
        <v>37300</v>
      </c>
      <c r="I8" s="27">
        <v>85100</v>
      </c>
      <c r="J8" s="28">
        <v>3.8</v>
      </c>
      <c r="K8" s="28">
        <v>11.4</v>
      </c>
    </row>
    <row r="9" spans="1:11">
      <c r="A9" s="27">
        <v>7</v>
      </c>
      <c r="B9" s="27"/>
      <c r="C9" s="27">
        <v>882.89700000000005</v>
      </c>
      <c r="D9" s="27">
        <v>1764.7860000000001</v>
      </c>
      <c r="E9" s="27">
        <v>2E-3</v>
      </c>
      <c r="F9" s="27" t="s">
        <v>174</v>
      </c>
      <c r="G9" s="27" t="s">
        <v>175</v>
      </c>
      <c r="H9" s="27">
        <v>54000</v>
      </c>
      <c r="I9" s="27">
        <v>7150</v>
      </c>
      <c r="J9" s="28">
        <v>5.5</v>
      </c>
      <c r="K9" s="28">
        <v>1</v>
      </c>
    </row>
    <row r="10" spans="1:11">
      <c r="A10" s="27">
        <v>8</v>
      </c>
      <c r="B10" s="27"/>
      <c r="C10" s="27">
        <v>971.92100000000005</v>
      </c>
      <c r="D10" s="27">
        <v>1942.8340000000001</v>
      </c>
      <c r="E10" s="27">
        <v>2E-3</v>
      </c>
      <c r="F10" s="27" t="s">
        <v>176</v>
      </c>
      <c r="G10" s="27" t="s">
        <v>177</v>
      </c>
      <c r="H10" s="27">
        <v>74000</v>
      </c>
      <c r="I10" s="27">
        <v>0</v>
      </c>
      <c r="J10" s="28">
        <v>7.6</v>
      </c>
      <c r="K10" s="28">
        <v>0</v>
      </c>
    </row>
    <row r="11" spans="1:11">
      <c r="A11" s="27" t="s">
        <v>27</v>
      </c>
      <c r="B11" s="27"/>
      <c r="C11" s="27">
        <v>1036.954</v>
      </c>
      <c r="D11" s="27">
        <v>2072.9</v>
      </c>
      <c r="E11" s="27">
        <v>5.0000000000000001E-3</v>
      </c>
      <c r="F11" s="27" t="s">
        <v>178</v>
      </c>
      <c r="G11" s="27" t="s">
        <v>179</v>
      </c>
      <c r="H11" s="27">
        <v>43700</v>
      </c>
      <c r="I11" s="27">
        <v>0</v>
      </c>
      <c r="J11" s="28">
        <v>4.5</v>
      </c>
      <c r="K11" s="28">
        <v>0</v>
      </c>
    </row>
    <row r="12" spans="1:11">
      <c r="A12" s="27" t="s">
        <v>29</v>
      </c>
      <c r="B12" s="27"/>
      <c r="C12" s="27"/>
      <c r="D12" s="27"/>
      <c r="E12" s="27"/>
      <c r="F12" s="27"/>
      <c r="G12" s="27"/>
      <c r="H12" s="27">
        <v>0</v>
      </c>
      <c r="I12" s="27">
        <v>114000</v>
      </c>
      <c r="J12" s="28">
        <v>0</v>
      </c>
      <c r="K12" s="28">
        <v>15.3</v>
      </c>
    </row>
    <row r="13" spans="1:11">
      <c r="A13" s="27" t="s">
        <v>32</v>
      </c>
      <c r="B13" s="27"/>
      <c r="C13" s="27">
        <v>1044.95</v>
      </c>
      <c r="D13" s="27">
        <v>2088.8919999999998</v>
      </c>
      <c r="E13" s="27">
        <v>2E-3</v>
      </c>
      <c r="F13" s="27" t="s">
        <v>180</v>
      </c>
      <c r="G13" s="27" t="s">
        <v>181</v>
      </c>
      <c r="H13" s="27">
        <v>9480</v>
      </c>
      <c r="I13" s="27">
        <v>0</v>
      </c>
      <c r="J13" s="28">
        <v>1</v>
      </c>
      <c r="K13" s="28">
        <v>0</v>
      </c>
    </row>
    <row r="14" spans="1:11">
      <c r="A14" s="27" t="s">
        <v>39</v>
      </c>
      <c r="B14" s="27"/>
      <c r="C14" s="27"/>
      <c r="D14" s="27"/>
      <c r="E14" s="27"/>
      <c r="F14" s="27"/>
      <c r="G14" s="27"/>
      <c r="H14" s="27">
        <v>52100</v>
      </c>
      <c r="I14" s="27">
        <v>1140</v>
      </c>
      <c r="J14" s="28">
        <v>5.3</v>
      </c>
      <c r="K14" s="28">
        <v>0.2</v>
      </c>
    </row>
    <row r="15" spans="1:11">
      <c r="A15" s="27" t="s">
        <v>182</v>
      </c>
      <c r="B15" s="27"/>
      <c r="C15" s="27"/>
      <c r="D15" s="27"/>
      <c r="E15" s="27"/>
      <c r="F15" s="27"/>
      <c r="G15" s="27"/>
      <c r="H15" s="27">
        <v>21400</v>
      </c>
      <c r="I15" s="27">
        <v>848</v>
      </c>
      <c r="J15" s="28">
        <v>2.2000000000000002</v>
      </c>
      <c r="K15" s="28">
        <v>0.1</v>
      </c>
    </row>
    <row r="16" spans="1:11">
      <c r="A16" s="27" t="s">
        <v>128</v>
      </c>
      <c r="B16" s="27"/>
      <c r="C16" s="27"/>
      <c r="D16" s="27"/>
      <c r="E16" s="27"/>
      <c r="F16" s="27"/>
      <c r="G16" s="27"/>
      <c r="H16" s="27">
        <v>5360</v>
      </c>
      <c r="I16" s="27">
        <v>15500</v>
      </c>
      <c r="J16" s="28">
        <v>0.5</v>
      </c>
      <c r="K16" s="28">
        <v>2.1</v>
      </c>
    </row>
    <row r="17" spans="1:11">
      <c r="A17" s="27">
        <v>11</v>
      </c>
      <c r="B17" s="27"/>
      <c r="C17" s="27">
        <v>1191.01</v>
      </c>
      <c r="D17" s="27">
        <v>2381.0120000000002</v>
      </c>
      <c r="E17" s="27">
        <v>7.0000000000000001E-3</v>
      </c>
      <c r="F17" s="27" t="s">
        <v>183</v>
      </c>
      <c r="G17" s="27" t="s">
        <v>184</v>
      </c>
      <c r="H17" s="27">
        <v>8810</v>
      </c>
      <c r="I17" s="27">
        <v>119000</v>
      </c>
      <c r="J17" s="28">
        <v>0.9</v>
      </c>
      <c r="K17" s="28">
        <v>16</v>
      </c>
    </row>
    <row r="18" spans="1:11">
      <c r="A18" s="27" t="s">
        <v>185</v>
      </c>
      <c r="B18" s="27">
        <v>842.68700000000001</v>
      </c>
      <c r="C18" s="27"/>
      <c r="D18" s="27">
        <v>2526.0450000000001</v>
      </c>
      <c r="E18" s="27">
        <v>2E-3</v>
      </c>
      <c r="F18" s="27" t="s">
        <v>186</v>
      </c>
      <c r="G18" s="27" t="s">
        <v>187</v>
      </c>
      <c r="H18" s="27">
        <v>11400</v>
      </c>
      <c r="I18" s="27">
        <v>56200</v>
      </c>
      <c r="J18" s="28">
        <v>1.2</v>
      </c>
      <c r="K18" s="28">
        <v>7.5</v>
      </c>
    </row>
    <row r="19" spans="1:11">
      <c r="A19" s="27" t="s">
        <v>188</v>
      </c>
      <c r="B19" s="27"/>
      <c r="C19" s="27"/>
      <c r="D19" s="27"/>
      <c r="E19" s="27"/>
      <c r="F19" s="27"/>
      <c r="G19" s="27"/>
      <c r="H19" s="27">
        <v>8410</v>
      </c>
      <c r="I19" s="27">
        <v>19900</v>
      </c>
      <c r="J19" s="28">
        <v>0.9</v>
      </c>
      <c r="K19" s="28">
        <v>2.7</v>
      </c>
    </row>
    <row r="20" spans="1:11">
      <c r="A20" s="27" t="s">
        <v>189</v>
      </c>
      <c r="B20" s="27"/>
      <c r="C20" s="27"/>
      <c r="D20" s="27"/>
      <c r="E20" s="27"/>
      <c r="F20" s="27"/>
      <c r="G20" s="27"/>
      <c r="H20" s="27">
        <v>7330</v>
      </c>
      <c r="I20" s="27">
        <v>44000</v>
      </c>
      <c r="J20" s="28">
        <v>0.7</v>
      </c>
      <c r="K20" s="28">
        <v>5.9</v>
      </c>
    </row>
    <row r="21" spans="1:11">
      <c r="A21" s="27">
        <v>13</v>
      </c>
      <c r="B21" s="27">
        <v>939.71900000000005</v>
      </c>
      <c r="C21" s="27"/>
      <c r="D21" s="27">
        <v>2817.1410000000001</v>
      </c>
      <c r="E21" s="27">
        <v>3.0000000000000001E-3</v>
      </c>
      <c r="F21" s="27" t="s">
        <v>190</v>
      </c>
      <c r="G21" s="27" t="s">
        <v>191</v>
      </c>
      <c r="H21" s="27">
        <v>9340</v>
      </c>
      <c r="I21" s="27">
        <v>51300</v>
      </c>
      <c r="J21" s="28">
        <v>1</v>
      </c>
      <c r="K21" s="28">
        <v>6.9</v>
      </c>
    </row>
    <row r="22" spans="1:11">
      <c r="A22" s="27" t="s">
        <v>50</v>
      </c>
      <c r="B22" s="27">
        <v>988.06500000000005</v>
      </c>
      <c r="C22" s="27"/>
      <c r="D22" s="27">
        <v>2962.1790000000001</v>
      </c>
      <c r="E22" s="27">
        <v>3.0000000000000001E-3</v>
      </c>
      <c r="F22" s="27" t="s">
        <v>192</v>
      </c>
      <c r="G22" s="27" t="s">
        <v>193</v>
      </c>
      <c r="H22" s="27">
        <v>21900</v>
      </c>
      <c r="I22" s="27">
        <v>29200</v>
      </c>
      <c r="J22" s="28">
        <v>2.2000000000000002</v>
      </c>
      <c r="K22" s="28">
        <v>3.9</v>
      </c>
    </row>
    <row r="23" spans="1:11">
      <c r="A23" s="27" t="s">
        <v>53</v>
      </c>
      <c r="B23" s="27"/>
      <c r="C23" s="27"/>
      <c r="D23" s="27"/>
      <c r="E23" s="27"/>
      <c r="F23" s="27"/>
      <c r="G23" s="27"/>
      <c r="H23" s="27">
        <v>7350</v>
      </c>
      <c r="I23" s="27">
        <v>12200</v>
      </c>
      <c r="J23" s="28">
        <v>0.8</v>
      </c>
      <c r="K23" s="28">
        <v>1.6</v>
      </c>
    </row>
    <row r="24" spans="1:11">
      <c r="A24" s="27">
        <v>15</v>
      </c>
      <c r="B24" s="27">
        <v>1085.0989999999999</v>
      </c>
      <c r="C24" s="27"/>
      <c r="D24" s="27">
        <v>3253.2809999999999</v>
      </c>
      <c r="E24" s="27">
        <v>0.01</v>
      </c>
      <c r="F24" s="27" t="s">
        <v>194</v>
      </c>
      <c r="G24" s="27" t="s">
        <v>195</v>
      </c>
      <c r="H24" s="27">
        <v>16800</v>
      </c>
      <c r="I24" s="27">
        <v>20400</v>
      </c>
      <c r="J24" s="28">
        <v>1.7</v>
      </c>
      <c r="K24" s="28">
        <v>2.7</v>
      </c>
    </row>
    <row r="25" spans="1:11">
      <c r="A25" s="27">
        <v>16</v>
      </c>
      <c r="B25" s="27"/>
      <c r="C25" s="27">
        <v>984.43700000000001</v>
      </c>
      <c r="D25" s="27">
        <v>1967.866</v>
      </c>
      <c r="E25" s="27">
        <v>3.0000000000000001E-3</v>
      </c>
      <c r="F25" s="27" t="s">
        <v>196</v>
      </c>
      <c r="G25" s="27" t="s">
        <v>197</v>
      </c>
      <c r="H25" s="27">
        <v>89500</v>
      </c>
      <c r="I25" s="27">
        <v>0</v>
      </c>
      <c r="J25" s="28">
        <v>9.1</v>
      </c>
      <c r="K25" s="28">
        <v>0</v>
      </c>
    </row>
    <row r="26" spans="1:11">
      <c r="A26" s="27" t="s">
        <v>58</v>
      </c>
      <c r="B26" s="27"/>
      <c r="C26" s="27">
        <v>1065.463</v>
      </c>
      <c r="D26" s="27">
        <v>2129.9180000000001</v>
      </c>
      <c r="E26" s="27">
        <v>2E-3</v>
      </c>
      <c r="F26" s="27" t="s">
        <v>198</v>
      </c>
      <c r="G26" s="27" t="s">
        <v>199</v>
      </c>
      <c r="H26" s="27">
        <v>15100</v>
      </c>
      <c r="I26" s="27">
        <v>0</v>
      </c>
      <c r="J26" s="28">
        <v>1.5</v>
      </c>
      <c r="K26" s="28">
        <v>0</v>
      </c>
    </row>
    <row r="27" spans="1:11">
      <c r="A27" s="27" t="s">
        <v>59</v>
      </c>
      <c r="B27" s="27"/>
      <c r="C27" s="27"/>
      <c r="D27" s="27"/>
      <c r="E27" s="27"/>
      <c r="F27" s="27"/>
      <c r="G27" s="27"/>
      <c r="H27" s="27">
        <v>8610</v>
      </c>
      <c r="I27" s="27">
        <v>1840</v>
      </c>
      <c r="J27" s="28">
        <v>0.9</v>
      </c>
      <c r="K27" s="28">
        <v>0.2</v>
      </c>
    </row>
    <row r="28" spans="1:11">
      <c r="A28" s="27" t="s">
        <v>60</v>
      </c>
      <c r="B28" s="27"/>
      <c r="C28" s="27"/>
      <c r="D28" s="27"/>
      <c r="E28" s="27"/>
      <c r="F28" s="27"/>
      <c r="G28" s="27"/>
      <c r="H28" s="27">
        <v>7410</v>
      </c>
      <c r="I28" s="27">
        <v>0</v>
      </c>
      <c r="J28" s="28">
        <v>0.8</v>
      </c>
      <c r="K28" s="28">
        <v>0</v>
      </c>
    </row>
    <row r="29" spans="1:11">
      <c r="A29" s="27" t="s">
        <v>66</v>
      </c>
      <c r="B29" s="27"/>
      <c r="C29" s="27">
        <v>1138.4949999999999</v>
      </c>
      <c r="D29" s="27">
        <v>2275.982</v>
      </c>
      <c r="E29" s="27">
        <v>8.0000000000000002E-3</v>
      </c>
      <c r="F29" s="27" t="s">
        <v>200</v>
      </c>
      <c r="G29" s="27" t="s">
        <v>201</v>
      </c>
      <c r="H29" s="27">
        <v>124000</v>
      </c>
      <c r="I29" s="27">
        <v>0</v>
      </c>
      <c r="J29" s="28">
        <v>12.7</v>
      </c>
      <c r="K29" s="28">
        <v>0</v>
      </c>
    </row>
    <row r="30" spans="1:11">
      <c r="A30" s="27" t="s">
        <v>68</v>
      </c>
      <c r="B30" s="27"/>
      <c r="C30" s="27"/>
      <c r="D30" s="27"/>
      <c r="E30" s="27"/>
      <c r="F30" s="27"/>
      <c r="G30" s="27"/>
      <c r="H30" s="27">
        <v>5190</v>
      </c>
      <c r="I30" s="27">
        <v>7720</v>
      </c>
      <c r="J30" s="28">
        <v>0.5</v>
      </c>
      <c r="K30" s="28">
        <v>1</v>
      </c>
    </row>
    <row r="31" spans="1:11">
      <c r="A31" s="27" t="s">
        <v>73</v>
      </c>
      <c r="B31" s="27"/>
      <c r="C31" s="27"/>
      <c r="D31" s="27"/>
      <c r="E31" s="27"/>
      <c r="F31" s="27"/>
      <c r="G31" s="27"/>
      <c r="H31" s="27">
        <v>99500</v>
      </c>
      <c r="I31" s="27">
        <v>0</v>
      </c>
      <c r="J31" s="28">
        <v>10.199999999999999</v>
      </c>
      <c r="K31" s="28">
        <v>0</v>
      </c>
    </row>
    <row r="32" spans="1:11">
      <c r="A32" s="27" t="s">
        <v>75</v>
      </c>
      <c r="B32" s="27">
        <v>862.03499999999997</v>
      </c>
      <c r="C32" s="27"/>
      <c r="D32" s="27">
        <v>2584.0889999999999</v>
      </c>
      <c r="E32" s="27">
        <v>4.0000000000000001E-3</v>
      </c>
      <c r="F32" s="27" t="s">
        <v>202</v>
      </c>
      <c r="G32" s="27" t="s">
        <v>203</v>
      </c>
      <c r="H32" s="27">
        <v>4930</v>
      </c>
      <c r="I32" s="27">
        <v>28900</v>
      </c>
      <c r="J32" s="28">
        <v>0.5</v>
      </c>
      <c r="K32" s="28">
        <v>3.9</v>
      </c>
    </row>
    <row r="33" spans="1:11">
      <c r="A33" s="29" t="s">
        <v>254</v>
      </c>
      <c r="B33" s="27"/>
      <c r="C33" s="27"/>
      <c r="D33" s="27"/>
      <c r="E33" s="27"/>
      <c r="F33" s="27"/>
      <c r="G33" s="27"/>
      <c r="H33" s="27">
        <v>0</v>
      </c>
      <c r="I33" s="27">
        <v>20200</v>
      </c>
      <c r="J33" s="28">
        <v>0</v>
      </c>
      <c r="K33" s="28">
        <v>2.7</v>
      </c>
    </row>
    <row r="34" spans="1:11">
      <c r="A34" s="27">
        <v>20</v>
      </c>
      <c r="B34" s="27">
        <v>910.38099999999997</v>
      </c>
      <c r="C34" s="27"/>
      <c r="D34" s="27">
        <v>2729.127</v>
      </c>
      <c r="E34" s="27">
        <v>5.0000000000000001E-3</v>
      </c>
      <c r="F34" s="27" t="s">
        <v>204</v>
      </c>
      <c r="G34" s="27" t="s">
        <v>205</v>
      </c>
      <c r="H34" s="27">
        <v>1340</v>
      </c>
      <c r="I34" s="27">
        <v>28100</v>
      </c>
      <c r="J34" s="28">
        <v>0.1</v>
      </c>
      <c r="K34" s="28">
        <v>3.8</v>
      </c>
    </row>
    <row r="35" spans="1:11">
      <c r="A35" s="27">
        <v>21</v>
      </c>
      <c r="B35" s="27">
        <v>1013.086</v>
      </c>
      <c r="C35" s="27"/>
      <c r="D35" s="27">
        <v>3037.2420000000002</v>
      </c>
      <c r="E35" s="27">
        <v>8.9999999999999993E-3</v>
      </c>
      <c r="F35" s="27" t="s">
        <v>206</v>
      </c>
      <c r="G35" s="27" t="s">
        <v>207</v>
      </c>
      <c r="H35" s="27">
        <v>2880</v>
      </c>
      <c r="I35" s="27">
        <v>54800</v>
      </c>
      <c r="J35" s="28">
        <v>0.3</v>
      </c>
      <c r="K35" s="28">
        <v>7.4</v>
      </c>
    </row>
    <row r="36" spans="1:11">
      <c r="A36" s="27" t="s">
        <v>87</v>
      </c>
      <c r="B36" s="27">
        <v>1061.431</v>
      </c>
      <c r="C36" s="27"/>
      <c r="D36" s="27">
        <v>3182.277</v>
      </c>
      <c r="E36" s="27">
        <v>7.0000000000000001E-3</v>
      </c>
      <c r="F36" s="27" t="s">
        <v>208</v>
      </c>
      <c r="G36" s="27" t="s">
        <v>209</v>
      </c>
      <c r="H36" s="27">
        <v>5450</v>
      </c>
      <c r="I36" s="27">
        <v>7810</v>
      </c>
      <c r="J36" s="28">
        <v>0.6</v>
      </c>
      <c r="K36" s="28">
        <v>1</v>
      </c>
    </row>
    <row r="37" spans="1:11">
      <c r="A37" s="27" t="s">
        <v>88</v>
      </c>
      <c r="B37" s="27"/>
      <c r="C37" s="27"/>
      <c r="D37" s="27"/>
      <c r="E37" s="27"/>
      <c r="F37" s="27"/>
      <c r="G37" s="27"/>
      <c r="H37" s="27">
        <v>4720</v>
      </c>
      <c r="I37" s="27">
        <v>7550</v>
      </c>
      <c r="J37" s="28">
        <v>0.5</v>
      </c>
      <c r="K37" s="28">
        <v>1</v>
      </c>
    </row>
    <row r="38" spans="1:11">
      <c r="A38" s="27" t="s">
        <v>89</v>
      </c>
      <c r="B38" s="27"/>
      <c r="C38" s="27"/>
      <c r="D38" s="27"/>
      <c r="E38" s="27"/>
      <c r="F38" s="27"/>
      <c r="G38" s="27"/>
      <c r="H38" s="27">
        <v>8910</v>
      </c>
      <c r="I38" s="27">
        <v>10000</v>
      </c>
      <c r="J38" s="28">
        <v>0.9</v>
      </c>
      <c r="K38" s="28">
        <v>1.3</v>
      </c>
    </row>
    <row r="39" spans="1:11">
      <c r="A39" s="27" t="s">
        <v>90</v>
      </c>
      <c r="B39" s="27"/>
      <c r="C39" s="27"/>
      <c r="D39" s="27"/>
      <c r="E39" s="27"/>
      <c r="F39" s="27"/>
      <c r="G39" s="27"/>
      <c r="H39" s="27">
        <v>3350</v>
      </c>
      <c r="I39" s="27">
        <v>17300</v>
      </c>
      <c r="J39" s="28">
        <v>0.3</v>
      </c>
      <c r="K39" s="28">
        <v>2.2999999999999998</v>
      </c>
    </row>
    <row r="40" spans="1:11">
      <c r="A40" s="27" t="s">
        <v>93</v>
      </c>
      <c r="B40" s="27">
        <v>1158.4639999999999</v>
      </c>
      <c r="C40" s="27"/>
      <c r="D40" s="27">
        <v>3473.3760000000002</v>
      </c>
      <c r="E40" s="27">
        <v>0.01</v>
      </c>
      <c r="F40" s="27" t="s">
        <v>210</v>
      </c>
      <c r="G40" s="27" t="s">
        <v>211</v>
      </c>
      <c r="H40" s="27">
        <v>0</v>
      </c>
      <c r="I40" s="27">
        <v>3000</v>
      </c>
      <c r="J40" s="28">
        <v>0</v>
      </c>
      <c r="K40" s="28">
        <v>0.4</v>
      </c>
    </row>
    <row r="41" spans="1:11">
      <c r="A41" s="27" t="s">
        <v>94</v>
      </c>
      <c r="B41" s="27"/>
      <c r="C41" s="27"/>
      <c r="D41" s="27"/>
      <c r="E41" s="27"/>
      <c r="F41" s="27"/>
      <c r="G41" s="27"/>
      <c r="H41" s="27">
        <v>3830</v>
      </c>
      <c r="I41" s="27">
        <v>11000</v>
      </c>
      <c r="J41" s="28">
        <v>0.4</v>
      </c>
      <c r="K41" s="28">
        <v>1.5</v>
      </c>
    </row>
    <row r="42" spans="1:11">
      <c r="A42" s="27">
        <v>24</v>
      </c>
      <c r="B42" s="27"/>
      <c r="C42" s="27">
        <v>1167.0050000000001</v>
      </c>
      <c r="D42" s="27">
        <v>2333.002</v>
      </c>
      <c r="E42" s="27">
        <v>6.0000000000000001E-3</v>
      </c>
      <c r="F42" s="27" t="s">
        <v>212</v>
      </c>
      <c r="G42" s="27" t="s">
        <v>213</v>
      </c>
      <c r="H42" s="27">
        <v>5480</v>
      </c>
      <c r="I42" s="27">
        <v>0</v>
      </c>
      <c r="J42" s="28">
        <v>0.6</v>
      </c>
      <c r="K42" s="28">
        <v>0</v>
      </c>
    </row>
    <row r="43" spans="1:11">
      <c r="A43" s="27">
        <v>25</v>
      </c>
      <c r="B43" s="27">
        <v>929.72699999999998</v>
      </c>
      <c r="C43" s="27"/>
      <c r="D43" s="27">
        <v>2787.165</v>
      </c>
      <c r="E43" s="27">
        <v>1E-3</v>
      </c>
      <c r="F43" s="27" t="s">
        <v>214</v>
      </c>
      <c r="G43" s="27" t="s">
        <v>215</v>
      </c>
      <c r="H43" s="27">
        <v>25700</v>
      </c>
      <c r="I43" s="27">
        <v>0</v>
      </c>
      <c r="J43" s="28">
        <v>2.6</v>
      </c>
      <c r="K43" s="28">
        <v>0</v>
      </c>
    </row>
    <row r="44" spans="1:11">
      <c r="A44" s="27" t="s">
        <v>104</v>
      </c>
      <c r="B44" s="27">
        <v>1075.107</v>
      </c>
      <c r="C44" s="27"/>
      <c r="D44" s="27">
        <v>3223.3049999999998</v>
      </c>
      <c r="E44" s="27">
        <v>8.0000000000000002E-3</v>
      </c>
      <c r="F44" s="27" t="s">
        <v>216</v>
      </c>
      <c r="G44" s="27" t="s">
        <v>217</v>
      </c>
      <c r="H44" s="27">
        <v>5550</v>
      </c>
      <c r="I44" s="27">
        <v>0</v>
      </c>
      <c r="J44" s="28">
        <v>0.6</v>
      </c>
      <c r="K44" s="28">
        <v>0</v>
      </c>
    </row>
    <row r="45" spans="1:11">
      <c r="A45" s="27" t="s">
        <v>105</v>
      </c>
      <c r="B45" s="27"/>
      <c r="C45" s="27"/>
      <c r="D45" s="27"/>
      <c r="E45" s="27"/>
      <c r="F45" s="27"/>
      <c r="G45" s="27"/>
      <c r="H45" s="27">
        <v>4310</v>
      </c>
      <c r="I45" s="27">
        <v>1590</v>
      </c>
      <c r="J45" s="28">
        <v>0.4</v>
      </c>
      <c r="K45" s="28">
        <v>0.2</v>
      </c>
    </row>
    <row r="46" spans="1:11">
      <c r="A46" s="27">
        <v>27</v>
      </c>
      <c r="B46" s="27">
        <v>1183.4829999999999</v>
      </c>
      <c r="C46" s="27"/>
      <c r="D46" s="27">
        <v>3548.433</v>
      </c>
      <c r="E46" s="27">
        <v>0.01</v>
      </c>
      <c r="F46" s="27" t="s">
        <v>218</v>
      </c>
      <c r="G46" s="27" t="s">
        <v>219</v>
      </c>
      <c r="H46" s="27">
        <v>18900</v>
      </c>
      <c r="I46" s="27">
        <v>19400</v>
      </c>
      <c r="J46" s="28">
        <v>1.9</v>
      </c>
      <c r="K46" s="28">
        <v>2.6</v>
      </c>
    </row>
    <row r="47" spans="1:11">
      <c r="A47" s="27" t="s">
        <v>112</v>
      </c>
      <c r="B47" s="27">
        <v>1231.828</v>
      </c>
      <c r="C47" s="27"/>
      <c r="D47" s="27">
        <v>3693.4679999999998</v>
      </c>
      <c r="E47" s="27">
        <v>7.0000000000000001E-3</v>
      </c>
      <c r="F47" s="27" t="s">
        <v>220</v>
      </c>
      <c r="G47" s="27" t="s">
        <v>221</v>
      </c>
      <c r="H47" s="27">
        <v>2970</v>
      </c>
      <c r="I47" s="27">
        <v>0</v>
      </c>
      <c r="J47" s="28">
        <v>0.3</v>
      </c>
      <c r="K47" s="28">
        <v>0</v>
      </c>
    </row>
    <row r="48" spans="1:11">
      <c r="A48" s="27" t="s">
        <v>113</v>
      </c>
      <c r="B48" s="27"/>
      <c r="C48" s="27"/>
      <c r="D48" s="27"/>
      <c r="E48" s="27"/>
      <c r="F48" s="27"/>
      <c r="G48" s="27"/>
      <c r="H48" s="27">
        <v>9610</v>
      </c>
      <c r="I48" s="27">
        <v>11900</v>
      </c>
      <c r="J48" s="28">
        <v>1</v>
      </c>
      <c r="K48" s="28">
        <v>1.6</v>
      </c>
    </row>
    <row r="49" spans="1:11">
      <c r="A49" s="27" t="s">
        <v>114</v>
      </c>
      <c r="B49" s="27"/>
      <c r="C49" s="27"/>
      <c r="D49" s="27"/>
      <c r="E49" s="27"/>
      <c r="F49" s="27"/>
      <c r="G49" s="27"/>
      <c r="H49" s="27">
        <v>7070</v>
      </c>
      <c r="I49" s="27">
        <v>6590</v>
      </c>
      <c r="J49" s="28">
        <v>0.7</v>
      </c>
      <c r="K49" s="28">
        <v>0.9</v>
      </c>
    </row>
    <row r="50" spans="1:11">
      <c r="A50" s="27" t="s">
        <v>115</v>
      </c>
      <c r="B50" s="27"/>
      <c r="C50" s="27"/>
      <c r="D50" s="27"/>
      <c r="E50" s="27"/>
      <c r="F50" s="27"/>
      <c r="G50" s="27"/>
      <c r="H50" s="27">
        <v>8610</v>
      </c>
      <c r="I50" s="27">
        <v>9340</v>
      </c>
      <c r="J50" s="28">
        <v>0.9</v>
      </c>
      <c r="K50" s="28">
        <v>1.3</v>
      </c>
    </row>
    <row r="51" spans="1:11">
      <c r="A51" s="27">
        <v>29</v>
      </c>
      <c r="B51" s="27">
        <v>1177.81</v>
      </c>
      <c r="C51" s="27"/>
      <c r="D51" s="27">
        <v>3531.4140000000002</v>
      </c>
      <c r="E51" s="27">
        <v>6.0000000000000001E-3</v>
      </c>
      <c r="F51" s="27" t="s">
        <v>222</v>
      </c>
      <c r="G51" s="27" t="s">
        <v>223</v>
      </c>
      <c r="H51" s="27">
        <v>4170</v>
      </c>
      <c r="I51" s="27">
        <v>3960</v>
      </c>
      <c r="J51" s="28">
        <v>0.4</v>
      </c>
      <c r="K51" s="28">
        <v>0.5</v>
      </c>
    </row>
    <row r="52" spans="1:11">
      <c r="A52" s="27">
        <v>30</v>
      </c>
      <c r="B52" s="27">
        <v>964.73900000000003</v>
      </c>
      <c r="C52" s="27"/>
      <c r="D52" s="27">
        <v>2892.201</v>
      </c>
      <c r="E52" s="27">
        <v>6.0000000000000001E-3</v>
      </c>
      <c r="F52" s="27" t="s">
        <v>224</v>
      </c>
      <c r="G52" s="27" t="s">
        <v>225</v>
      </c>
      <c r="H52" s="27">
        <v>8460</v>
      </c>
      <c r="I52" s="27">
        <v>47400</v>
      </c>
      <c r="J52" s="28">
        <v>0.9</v>
      </c>
      <c r="K52" s="28">
        <v>6.4</v>
      </c>
    </row>
  </sheetData>
  <phoneticPr fontId="1"/>
  <pageMargins left="0.7" right="0.7" top="0.75" bottom="0.75" header="0.3" footer="0.3"/>
  <pageSetup paperSize="9" scale="4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8AB6-D7BB-DC42-B402-F08456F35719}">
  <dimension ref="A1:O70"/>
  <sheetViews>
    <sheetView workbookViewId="0">
      <pane ySplit="1" topLeftCell="A8" activePane="bottomLeft" state="frozen"/>
      <selection pane="bottomLeft" sqref="A1:XFD1048576"/>
    </sheetView>
  </sheetViews>
  <sheetFormatPr baseColWidth="10" defaultRowHeight="20"/>
  <cols>
    <col min="10" max="10" width="19.85546875" bestFit="1" customWidth="1"/>
    <col min="11" max="11" width="13.5703125" bestFit="1" customWidth="1"/>
    <col min="12" max="12" width="23" bestFit="1" customWidth="1"/>
  </cols>
  <sheetData>
    <row r="1" spans="1:14">
      <c r="A1" s="8"/>
      <c r="B1" s="8" t="s">
        <v>0</v>
      </c>
      <c r="C1" s="8" t="s">
        <v>11</v>
      </c>
      <c r="D1" s="8" t="s">
        <v>12</v>
      </c>
      <c r="E1" s="8" t="s">
        <v>44</v>
      </c>
      <c r="F1" s="8" t="s">
        <v>1</v>
      </c>
      <c r="G1" s="8" t="s">
        <v>2</v>
      </c>
      <c r="H1" s="8"/>
      <c r="I1" s="15" t="s">
        <v>14</v>
      </c>
      <c r="J1" s="15" t="s">
        <v>13</v>
      </c>
      <c r="K1" s="15" t="s">
        <v>15</v>
      </c>
      <c r="L1" s="15" t="s">
        <v>45</v>
      </c>
      <c r="M1" s="8"/>
    </row>
    <row r="2" spans="1:14">
      <c r="A2" s="9">
        <v>1</v>
      </c>
      <c r="B2" s="9">
        <v>3</v>
      </c>
      <c r="C2" s="9"/>
      <c r="D2" s="9"/>
      <c r="E2" s="9"/>
      <c r="F2" s="9">
        <v>3</v>
      </c>
      <c r="G2" s="9">
        <v>2</v>
      </c>
      <c r="H2" s="9"/>
      <c r="I2" s="9">
        <f>B2+F2</f>
        <v>6</v>
      </c>
      <c r="J2" s="9">
        <f>C2+G2</f>
        <v>2</v>
      </c>
      <c r="K2" s="9">
        <f>D2</f>
        <v>0</v>
      </c>
      <c r="L2" s="9">
        <f>E2</f>
        <v>0</v>
      </c>
      <c r="M2" s="9" t="s">
        <v>6</v>
      </c>
    </row>
    <row r="3" spans="1:1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 t="s">
        <v>7</v>
      </c>
    </row>
    <row r="4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131</v>
      </c>
    </row>
    <row r="5" spans="1:14">
      <c r="A5" s="9" t="s">
        <v>130</v>
      </c>
      <c r="B5" s="9">
        <v>4</v>
      </c>
      <c r="C5" s="9"/>
      <c r="D5" s="9"/>
      <c r="E5" s="9"/>
      <c r="F5" s="9">
        <v>3</v>
      </c>
      <c r="G5" s="9">
        <v>2</v>
      </c>
      <c r="H5" s="9"/>
      <c r="I5" s="9">
        <f>B5+F5</f>
        <v>7</v>
      </c>
      <c r="J5" s="9">
        <f>C5+G5</f>
        <v>2</v>
      </c>
      <c r="K5" s="9">
        <f>D5</f>
        <v>0</v>
      </c>
      <c r="L5" s="9">
        <f t="shared" ref="L5:L65" si="0">E5</f>
        <v>0</v>
      </c>
      <c r="M5" s="9" t="s">
        <v>3</v>
      </c>
    </row>
    <row r="6" spans="1:1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 t="s">
        <v>4</v>
      </c>
    </row>
    <row r="7" spans="1:1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1" t="s">
        <v>5</v>
      </c>
    </row>
    <row r="8" spans="1:14">
      <c r="A8" s="9"/>
      <c r="B8" s="9"/>
      <c r="C8" s="9"/>
      <c r="D8" s="9"/>
      <c r="E8" s="9"/>
      <c r="F8" s="9"/>
      <c r="G8" s="9"/>
      <c r="H8" s="9"/>
      <c r="I8" s="10"/>
      <c r="J8" s="10"/>
      <c r="K8" s="10"/>
      <c r="L8" s="10"/>
      <c r="M8" s="12" t="s">
        <v>132</v>
      </c>
    </row>
    <row r="9" spans="1:14">
      <c r="A9" s="13">
        <v>3</v>
      </c>
      <c r="B9" s="13">
        <v>5</v>
      </c>
      <c r="C9" s="13"/>
      <c r="D9" s="13"/>
      <c r="E9" s="13"/>
      <c r="F9" s="13">
        <v>3</v>
      </c>
      <c r="G9" s="13">
        <v>2</v>
      </c>
      <c r="H9" s="13"/>
      <c r="I9" s="9">
        <f>B9+F9</f>
        <v>8</v>
      </c>
      <c r="J9" s="9">
        <f>C9+G9</f>
        <v>2</v>
      </c>
      <c r="K9" s="9">
        <f>D9</f>
        <v>0</v>
      </c>
      <c r="L9" s="9">
        <f t="shared" si="0"/>
        <v>0</v>
      </c>
      <c r="M9" s="11" t="s">
        <v>8</v>
      </c>
    </row>
    <row r="10" spans="1:1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2" t="s">
        <v>9</v>
      </c>
    </row>
    <row r="11" spans="1:14">
      <c r="A11" s="14">
        <v>4</v>
      </c>
      <c r="B11" s="14">
        <v>6</v>
      </c>
      <c r="C11" s="10"/>
      <c r="D11" s="10"/>
      <c r="E11" s="10"/>
      <c r="F11" s="10">
        <v>3</v>
      </c>
      <c r="G11" s="10">
        <v>2</v>
      </c>
      <c r="H11" s="10"/>
      <c r="I11" s="10">
        <f t="shared" ref="I11:I51" si="1">B11+F11</f>
        <v>9</v>
      </c>
      <c r="J11" s="10">
        <f t="shared" ref="J11:J51" si="2">C11+G11</f>
        <v>2</v>
      </c>
      <c r="K11" s="10">
        <f t="shared" ref="K11:K51" si="3">D11</f>
        <v>0</v>
      </c>
      <c r="L11" s="14">
        <f t="shared" si="0"/>
        <v>0</v>
      </c>
      <c r="M11" s="12" t="s">
        <v>10</v>
      </c>
    </row>
    <row r="12" spans="1:14">
      <c r="A12">
        <v>5</v>
      </c>
      <c r="B12">
        <v>2</v>
      </c>
      <c r="C12">
        <v>1</v>
      </c>
      <c r="D12">
        <v>2</v>
      </c>
      <c r="F12">
        <v>3</v>
      </c>
      <c r="G12">
        <v>2</v>
      </c>
      <c r="I12">
        <f t="shared" si="1"/>
        <v>5</v>
      </c>
      <c r="J12">
        <f t="shared" si="2"/>
        <v>3</v>
      </c>
      <c r="K12">
        <f t="shared" si="3"/>
        <v>2</v>
      </c>
      <c r="L12">
        <f t="shared" si="0"/>
        <v>0</v>
      </c>
      <c r="M12" s="1" t="s">
        <v>16</v>
      </c>
    </row>
    <row r="13" spans="1:14">
      <c r="A13" s="3"/>
      <c r="B13" s="3"/>
      <c r="C13" s="3"/>
      <c r="D13" s="3"/>
      <c r="E13" s="3"/>
      <c r="F13" s="3"/>
      <c r="G13" s="3"/>
      <c r="H13" s="3"/>
      <c r="I13" s="3">
        <f t="shared" si="1"/>
        <v>0</v>
      </c>
      <c r="J13" s="3">
        <f t="shared" si="2"/>
        <v>0</v>
      </c>
      <c r="K13" s="3">
        <f t="shared" si="3"/>
        <v>0</v>
      </c>
      <c r="L13">
        <f t="shared" si="0"/>
        <v>0</v>
      </c>
      <c r="M13" s="4" t="s">
        <v>17</v>
      </c>
    </row>
    <row r="14" spans="1:14">
      <c r="A14" s="6">
        <v>6</v>
      </c>
      <c r="B14" s="6">
        <v>3</v>
      </c>
      <c r="C14" s="6">
        <v>1</v>
      </c>
      <c r="D14" s="6">
        <v>2</v>
      </c>
      <c r="E14" s="6"/>
      <c r="F14" s="6">
        <v>3</v>
      </c>
      <c r="G14" s="6">
        <v>2</v>
      </c>
      <c r="H14" s="6"/>
      <c r="I14" s="6">
        <f t="shared" si="1"/>
        <v>6</v>
      </c>
      <c r="J14" s="6">
        <f t="shared" si="2"/>
        <v>3</v>
      </c>
      <c r="K14" s="6">
        <f t="shared" si="3"/>
        <v>2</v>
      </c>
      <c r="L14">
        <f t="shared" si="0"/>
        <v>0</v>
      </c>
      <c r="M14" s="7" t="s">
        <v>18</v>
      </c>
    </row>
    <row r="15" spans="1:14">
      <c r="A15">
        <v>7</v>
      </c>
      <c r="C15">
        <v>2</v>
      </c>
      <c r="D15">
        <v>1</v>
      </c>
      <c r="F15">
        <v>3</v>
      </c>
      <c r="G15">
        <v>2</v>
      </c>
      <c r="I15">
        <f t="shared" si="1"/>
        <v>3</v>
      </c>
      <c r="J15">
        <f t="shared" si="2"/>
        <v>4</v>
      </c>
      <c r="K15">
        <f t="shared" si="3"/>
        <v>1</v>
      </c>
      <c r="L15">
        <f t="shared" si="0"/>
        <v>0</v>
      </c>
      <c r="M15" s="1" t="s">
        <v>19</v>
      </c>
    </row>
    <row r="16" spans="1:14">
      <c r="A16" s="3"/>
      <c r="B16" s="3"/>
      <c r="C16" s="3"/>
      <c r="D16" s="3"/>
      <c r="E16" s="3"/>
      <c r="F16" s="3"/>
      <c r="G16" s="3"/>
      <c r="H16" s="3"/>
      <c r="I16" s="3">
        <f t="shared" si="1"/>
        <v>0</v>
      </c>
      <c r="J16" s="3">
        <f t="shared" si="2"/>
        <v>0</v>
      </c>
      <c r="K16" s="3">
        <f t="shared" si="3"/>
        <v>0</v>
      </c>
      <c r="L16">
        <f t="shared" si="0"/>
        <v>0</v>
      </c>
      <c r="M16" s="4" t="s">
        <v>20</v>
      </c>
      <c r="N16" t="s">
        <v>21</v>
      </c>
    </row>
    <row r="17" spans="1:14">
      <c r="A17">
        <v>8</v>
      </c>
      <c r="B17">
        <v>2</v>
      </c>
      <c r="C17">
        <v>2</v>
      </c>
      <c r="F17">
        <v>3</v>
      </c>
      <c r="G17">
        <v>2</v>
      </c>
      <c r="I17">
        <f t="shared" si="1"/>
        <v>5</v>
      </c>
      <c r="J17">
        <f t="shared" si="2"/>
        <v>4</v>
      </c>
      <c r="K17">
        <f t="shared" si="3"/>
        <v>0</v>
      </c>
      <c r="L17">
        <f t="shared" si="0"/>
        <v>0</v>
      </c>
      <c r="M17" s="1" t="s">
        <v>22</v>
      </c>
    </row>
    <row r="18" spans="1:14">
      <c r="I18">
        <f t="shared" si="1"/>
        <v>0</v>
      </c>
      <c r="J18">
        <f t="shared" si="2"/>
        <v>0</v>
      </c>
      <c r="K18">
        <f t="shared" si="3"/>
        <v>0</v>
      </c>
      <c r="L18">
        <f t="shared" si="0"/>
        <v>0</v>
      </c>
      <c r="M18" s="1" t="s">
        <v>23</v>
      </c>
    </row>
    <row r="19" spans="1:14">
      <c r="I19">
        <f t="shared" si="1"/>
        <v>0</v>
      </c>
      <c r="J19">
        <f t="shared" si="2"/>
        <v>0</v>
      </c>
      <c r="K19">
        <f t="shared" si="3"/>
        <v>0</v>
      </c>
      <c r="L19">
        <f t="shared" si="0"/>
        <v>0</v>
      </c>
      <c r="M19" s="1" t="s">
        <v>24</v>
      </c>
    </row>
    <row r="20" spans="1:14">
      <c r="A20" s="3"/>
      <c r="B20" s="3"/>
      <c r="C20" s="3"/>
      <c r="D20" s="3"/>
      <c r="E20" s="3"/>
      <c r="F20" s="3"/>
      <c r="G20" s="3"/>
      <c r="H20" s="3"/>
      <c r="I20" s="3">
        <f t="shared" si="1"/>
        <v>0</v>
      </c>
      <c r="J20" s="3">
        <f t="shared" si="2"/>
        <v>0</v>
      </c>
      <c r="K20" s="3">
        <f t="shared" si="3"/>
        <v>0</v>
      </c>
      <c r="L20">
        <f t="shared" si="0"/>
        <v>0</v>
      </c>
      <c r="M20" s="4" t="s">
        <v>25</v>
      </c>
    </row>
    <row r="21" spans="1:14">
      <c r="A21" t="s">
        <v>28</v>
      </c>
      <c r="B21">
        <v>1</v>
      </c>
      <c r="C21">
        <v>2</v>
      </c>
      <c r="D21">
        <v>2</v>
      </c>
      <c r="F21">
        <v>3</v>
      </c>
      <c r="G21">
        <v>2</v>
      </c>
      <c r="I21">
        <f t="shared" si="1"/>
        <v>4</v>
      </c>
      <c r="J21">
        <f t="shared" si="2"/>
        <v>4</v>
      </c>
      <c r="K21">
        <f t="shared" si="3"/>
        <v>2</v>
      </c>
      <c r="L21">
        <f t="shared" si="0"/>
        <v>0</v>
      </c>
      <c r="M21" s="1" t="s">
        <v>26</v>
      </c>
    </row>
    <row r="22" spans="1:14">
      <c r="A22" s="3" t="s">
        <v>30</v>
      </c>
      <c r="B22" s="3"/>
      <c r="C22" s="3"/>
      <c r="D22" s="3"/>
      <c r="E22" s="3"/>
      <c r="F22" s="3"/>
      <c r="G22" s="3"/>
      <c r="H22" s="3"/>
      <c r="I22" s="3">
        <f t="shared" si="1"/>
        <v>0</v>
      </c>
      <c r="J22" s="3">
        <f t="shared" si="2"/>
        <v>0</v>
      </c>
      <c r="K22" s="3">
        <f t="shared" si="3"/>
        <v>0</v>
      </c>
      <c r="L22">
        <f t="shared" si="0"/>
        <v>0</v>
      </c>
      <c r="M22" s="4" t="s">
        <v>31</v>
      </c>
    </row>
    <row r="23" spans="1:14">
      <c r="A23" t="s">
        <v>127</v>
      </c>
      <c r="B23">
        <v>2</v>
      </c>
      <c r="C23">
        <v>2</v>
      </c>
      <c r="D23">
        <v>1</v>
      </c>
      <c r="F23">
        <v>3</v>
      </c>
      <c r="G23">
        <v>2</v>
      </c>
      <c r="I23">
        <f t="shared" si="1"/>
        <v>5</v>
      </c>
      <c r="J23">
        <f t="shared" si="2"/>
        <v>4</v>
      </c>
      <c r="K23">
        <f t="shared" si="3"/>
        <v>1</v>
      </c>
      <c r="L23">
        <f t="shared" si="0"/>
        <v>0</v>
      </c>
      <c r="N23" s="1" t="s">
        <v>38</v>
      </c>
    </row>
    <row r="24" spans="1:14">
      <c r="A24" t="s">
        <v>129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0"/>
        <v>0</v>
      </c>
      <c r="M24" t="s">
        <v>33</v>
      </c>
    </row>
    <row r="25" spans="1:14">
      <c r="I25">
        <f t="shared" si="1"/>
        <v>0</v>
      </c>
      <c r="J25">
        <f t="shared" si="2"/>
        <v>0</v>
      </c>
      <c r="K25">
        <f t="shared" si="3"/>
        <v>0</v>
      </c>
      <c r="L25">
        <f t="shared" si="0"/>
        <v>0</v>
      </c>
      <c r="M25" t="s">
        <v>34</v>
      </c>
    </row>
    <row r="26" spans="1:14">
      <c r="I26">
        <f t="shared" si="1"/>
        <v>0</v>
      </c>
      <c r="J26">
        <f t="shared" si="2"/>
        <v>0</v>
      </c>
      <c r="K26">
        <f t="shared" si="3"/>
        <v>0</v>
      </c>
      <c r="L26">
        <f t="shared" si="0"/>
        <v>0</v>
      </c>
      <c r="M26" t="s">
        <v>35</v>
      </c>
    </row>
    <row r="27" spans="1:14">
      <c r="I27">
        <f t="shared" si="1"/>
        <v>0</v>
      </c>
      <c r="J27">
        <f t="shared" si="2"/>
        <v>0</v>
      </c>
      <c r="K27">
        <f t="shared" si="3"/>
        <v>0</v>
      </c>
      <c r="L27">
        <f t="shared" si="0"/>
        <v>0</v>
      </c>
      <c r="M27" t="s">
        <v>36</v>
      </c>
    </row>
    <row r="28" spans="1:14">
      <c r="A28" s="3"/>
      <c r="B28" s="3"/>
      <c r="C28" s="3"/>
      <c r="D28" s="3"/>
      <c r="E28" s="3"/>
      <c r="F28" s="3"/>
      <c r="G28" s="3"/>
      <c r="H28" s="3"/>
      <c r="I28" s="3">
        <f t="shared" si="1"/>
        <v>0</v>
      </c>
      <c r="J28" s="3">
        <f t="shared" si="2"/>
        <v>0</v>
      </c>
      <c r="K28" s="3">
        <f t="shared" si="3"/>
        <v>0</v>
      </c>
      <c r="L28">
        <f t="shared" si="0"/>
        <v>0</v>
      </c>
      <c r="M28" s="3" t="s">
        <v>37</v>
      </c>
    </row>
    <row r="29" spans="1:14">
      <c r="A29">
        <v>11</v>
      </c>
      <c r="B29">
        <v>2</v>
      </c>
      <c r="C29">
        <v>2</v>
      </c>
      <c r="D29">
        <v>3</v>
      </c>
      <c r="F29">
        <v>3</v>
      </c>
      <c r="G29">
        <v>2</v>
      </c>
      <c r="I29">
        <f t="shared" si="1"/>
        <v>5</v>
      </c>
      <c r="J29">
        <f t="shared" si="2"/>
        <v>4</v>
      </c>
      <c r="K29">
        <f t="shared" si="3"/>
        <v>3</v>
      </c>
      <c r="L29">
        <f t="shared" si="0"/>
        <v>0</v>
      </c>
      <c r="M29" t="s">
        <v>40</v>
      </c>
    </row>
    <row r="30" spans="1:14">
      <c r="I30">
        <f t="shared" si="1"/>
        <v>0</v>
      </c>
      <c r="J30">
        <f t="shared" si="2"/>
        <v>0</v>
      </c>
      <c r="K30">
        <f t="shared" si="3"/>
        <v>0</v>
      </c>
      <c r="L30">
        <f t="shared" si="0"/>
        <v>0</v>
      </c>
      <c r="M30" t="s">
        <v>41</v>
      </c>
      <c r="N30" t="s">
        <v>21</v>
      </c>
    </row>
    <row r="31" spans="1:14">
      <c r="I31">
        <f t="shared" si="1"/>
        <v>0</v>
      </c>
      <c r="J31">
        <f t="shared" si="2"/>
        <v>0</v>
      </c>
      <c r="K31">
        <f t="shared" si="3"/>
        <v>0</v>
      </c>
      <c r="L31">
        <f t="shared" si="0"/>
        <v>0</v>
      </c>
      <c r="M31" t="s">
        <v>42</v>
      </c>
      <c r="N31" t="s">
        <v>21</v>
      </c>
    </row>
    <row r="32" spans="1:14">
      <c r="A32" s="3"/>
      <c r="B32" s="3"/>
      <c r="C32" s="3"/>
      <c r="D32" s="3"/>
      <c r="E32" s="3"/>
      <c r="F32" s="3"/>
      <c r="G32" s="3"/>
      <c r="H32" s="3"/>
      <c r="I32" s="3">
        <f t="shared" si="1"/>
        <v>0</v>
      </c>
      <c r="J32" s="3">
        <f t="shared" si="2"/>
        <v>0</v>
      </c>
      <c r="K32" s="3">
        <f t="shared" si="3"/>
        <v>0</v>
      </c>
      <c r="L32">
        <f t="shared" si="0"/>
        <v>0</v>
      </c>
      <c r="M32" s="3"/>
      <c r="N32" s="1" t="s">
        <v>43</v>
      </c>
    </row>
    <row r="33" spans="1:14">
      <c r="A33" t="s">
        <v>126</v>
      </c>
      <c r="B33">
        <v>2</v>
      </c>
      <c r="C33">
        <v>2</v>
      </c>
      <c r="D33">
        <v>2</v>
      </c>
      <c r="E33">
        <v>1</v>
      </c>
      <c r="F33">
        <v>3</v>
      </c>
      <c r="G33">
        <v>2</v>
      </c>
      <c r="I33">
        <f t="shared" si="1"/>
        <v>5</v>
      </c>
      <c r="J33">
        <f t="shared" si="2"/>
        <v>4</v>
      </c>
      <c r="K33">
        <f t="shared" si="3"/>
        <v>2</v>
      </c>
      <c r="L33">
        <f t="shared" si="0"/>
        <v>1</v>
      </c>
      <c r="M33" t="s">
        <v>46</v>
      </c>
    </row>
    <row r="34" spans="1:14">
      <c r="A34" s="3"/>
      <c r="B34" s="3"/>
      <c r="C34" s="3"/>
      <c r="D34" s="3"/>
      <c r="E34" s="3"/>
      <c r="F34" s="3"/>
      <c r="G34" s="3"/>
      <c r="H34" s="3"/>
      <c r="I34" s="3">
        <f t="shared" si="1"/>
        <v>0</v>
      </c>
      <c r="J34" s="3">
        <f t="shared" si="2"/>
        <v>0</v>
      </c>
      <c r="K34" s="3">
        <f t="shared" si="3"/>
        <v>0</v>
      </c>
      <c r="L34" s="3">
        <f t="shared" si="0"/>
        <v>0</v>
      </c>
      <c r="M34" s="3" t="s">
        <v>47</v>
      </c>
      <c r="N34" t="s">
        <v>48</v>
      </c>
    </row>
    <row r="35" spans="1:14">
      <c r="A35" s="6">
        <v>13</v>
      </c>
      <c r="B35" s="6">
        <v>2</v>
      </c>
      <c r="C35" s="6">
        <v>2</v>
      </c>
      <c r="D35" s="6">
        <v>2</v>
      </c>
      <c r="E35" s="6">
        <v>2</v>
      </c>
      <c r="F35" s="6">
        <v>3</v>
      </c>
      <c r="G35" s="6">
        <v>2</v>
      </c>
      <c r="H35" s="6"/>
      <c r="I35" s="6">
        <f t="shared" si="1"/>
        <v>5</v>
      </c>
      <c r="J35" s="6">
        <f t="shared" si="2"/>
        <v>4</v>
      </c>
      <c r="K35" s="6">
        <f t="shared" si="3"/>
        <v>2</v>
      </c>
      <c r="L35" s="6">
        <f t="shared" si="0"/>
        <v>2</v>
      </c>
      <c r="M35" s="6" t="s">
        <v>49</v>
      </c>
    </row>
    <row r="36" spans="1:14">
      <c r="A36" t="s">
        <v>125</v>
      </c>
      <c r="B36">
        <v>2</v>
      </c>
      <c r="C36">
        <v>2</v>
      </c>
      <c r="D36">
        <v>1</v>
      </c>
      <c r="E36">
        <v>3</v>
      </c>
      <c r="F36">
        <v>3</v>
      </c>
      <c r="G36">
        <v>2</v>
      </c>
      <c r="I36">
        <f t="shared" si="1"/>
        <v>5</v>
      </c>
      <c r="J36">
        <f t="shared" si="2"/>
        <v>4</v>
      </c>
      <c r="K36">
        <f t="shared" si="3"/>
        <v>1</v>
      </c>
      <c r="L36">
        <f t="shared" si="0"/>
        <v>3</v>
      </c>
      <c r="M36" t="s">
        <v>51</v>
      </c>
      <c r="N36" t="s">
        <v>52</v>
      </c>
    </row>
    <row r="37" spans="1:14">
      <c r="A37" s="3"/>
      <c r="B37" s="3"/>
      <c r="C37" s="3"/>
      <c r="D37" s="3"/>
      <c r="E37" s="3"/>
      <c r="F37" s="3"/>
      <c r="G37" s="3"/>
      <c r="H37" s="3"/>
      <c r="I37" s="3">
        <f t="shared" si="1"/>
        <v>0</v>
      </c>
      <c r="J37" s="3">
        <f t="shared" si="2"/>
        <v>0</v>
      </c>
      <c r="K37" s="3">
        <f t="shared" si="3"/>
        <v>0</v>
      </c>
      <c r="L37" s="3">
        <f t="shared" si="0"/>
        <v>0</v>
      </c>
      <c r="M37" s="3"/>
    </row>
    <row r="38" spans="1:14">
      <c r="A38" s="6">
        <v>15</v>
      </c>
      <c r="B38" s="6">
        <v>2</v>
      </c>
      <c r="C38" s="6">
        <v>2</v>
      </c>
      <c r="D38" s="6">
        <v>1</v>
      </c>
      <c r="E38" s="6">
        <v>4</v>
      </c>
      <c r="F38" s="6">
        <v>3</v>
      </c>
      <c r="G38" s="6">
        <v>2</v>
      </c>
      <c r="H38" s="6"/>
      <c r="I38" s="6">
        <f t="shared" si="1"/>
        <v>5</v>
      </c>
      <c r="J38" s="6">
        <f t="shared" si="2"/>
        <v>4</v>
      </c>
      <c r="K38" s="6">
        <f t="shared" si="3"/>
        <v>1</v>
      </c>
      <c r="L38" s="6">
        <f t="shared" si="0"/>
        <v>4</v>
      </c>
      <c r="M38" s="6"/>
      <c r="N38" t="s">
        <v>54</v>
      </c>
    </row>
    <row r="39" spans="1:14">
      <c r="A39">
        <v>16</v>
      </c>
      <c r="C39">
        <v>3</v>
      </c>
      <c r="D39">
        <v>1</v>
      </c>
      <c r="F39">
        <v>3</v>
      </c>
      <c r="G39">
        <v>2</v>
      </c>
      <c r="I39">
        <f t="shared" si="1"/>
        <v>3</v>
      </c>
      <c r="J39">
        <f t="shared" si="2"/>
        <v>5</v>
      </c>
      <c r="K39">
        <f t="shared" si="3"/>
        <v>1</v>
      </c>
      <c r="L39">
        <f t="shared" si="0"/>
        <v>0</v>
      </c>
      <c r="M39" t="s">
        <v>55</v>
      </c>
    </row>
    <row r="40" spans="1:14">
      <c r="A40" s="3"/>
      <c r="B40" s="3"/>
      <c r="C40" s="3"/>
      <c r="D40" s="3"/>
      <c r="E40" s="3"/>
      <c r="F40" s="3"/>
      <c r="G40" s="3"/>
      <c r="H40" s="3"/>
      <c r="I40" s="3">
        <f t="shared" si="1"/>
        <v>0</v>
      </c>
      <c r="J40" s="3">
        <f t="shared" si="2"/>
        <v>0</v>
      </c>
      <c r="K40" s="3">
        <f t="shared" si="3"/>
        <v>0</v>
      </c>
      <c r="L40" s="3">
        <f t="shared" si="0"/>
        <v>0</v>
      </c>
      <c r="M40" s="3" t="s">
        <v>56</v>
      </c>
      <c r="N40" t="s">
        <v>57</v>
      </c>
    </row>
    <row r="41" spans="1:14">
      <c r="A41" t="s">
        <v>124</v>
      </c>
      <c r="B41">
        <v>1</v>
      </c>
      <c r="C41">
        <v>3</v>
      </c>
      <c r="D41">
        <v>1</v>
      </c>
      <c r="F41">
        <v>3</v>
      </c>
      <c r="G41">
        <v>2</v>
      </c>
      <c r="I41">
        <f t="shared" si="1"/>
        <v>4</v>
      </c>
      <c r="J41">
        <f t="shared" si="2"/>
        <v>5</v>
      </c>
      <c r="K41">
        <f t="shared" si="3"/>
        <v>1</v>
      </c>
      <c r="L41">
        <f t="shared" si="0"/>
        <v>0</v>
      </c>
      <c r="M41" t="s">
        <v>61</v>
      </c>
      <c r="N41" t="s">
        <v>62</v>
      </c>
    </row>
    <row r="42" spans="1:14">
      <c r="I42">
        <f t="shared" si="1"/>
        <v>0</v>
      </c>
      <c r="J42">
        <f t="shared" si="2"/>
        <v>0</v>
      </c>
      <c r="K42">
        <f t="shared" si="3"/>
        <v>0</v>
      </c>
      <c r="L42">
        <f t="shared" si="0"/>
        <v>0</v>
      </c>
      <c r="M42" t="s">
        <v>63</v>
      </c>
    </row>
    <row r="43" spans="1:14">
      <c r="A43" s="3"/>
      <c r="B43" s="3"/>
      <c r="C43" s="3"/>
      <c r="D43" s="3"/>
      <c r="E43" s="3"/>
      <c r="F43" s="3"/>
      <c r="G43" s="3"/>
      <c r="H43" s="3"/>
      <c r="I43" s="3">
        <f t="shared" si="1"/>
        <v>0</v>
      </c>
      <c r="J43" s="3">
        <f t="shared" si="2"/>
        <v>0</v>
      </c>
      <c r="K43" s="3">
        <f t="shared" si="3"/>
        <v>0</v>
      </c>
      <c r="L43" s="3">
        <f t="shared" si="0"/>
        <v>0</v>
      </c>
      <c r="M43" s="3" t="s">
        <v>64</v>
      </c>
      <c r="N43" t="s">
        <v>65</v>
      </c>
    </row>
    <row r="44" spans="1:14">
      <c r="A44" t="s">
        <v>67</v>
      </c>
      <c r="B44">
        <v>1</v>
      </c>
      <c r="C44">
        <v>3</v>
      </c>
      <c r="D44">
        <v>2</v>
      </c>
      <c r="F44">
        <v>3</v>
      </c>
      <c r="G44">
        <v>2</v>
      </c>
      <c r="I44">
        <f t="shared" si="1"/>
        <v>4</v>
      </c>
      <c r="J44">
        <f t="shared" si="2"/>
        <v>5</v>
      </c>
      <c r="K44">
        <f t="shared" si="3"/>
        <v>2</v>
      </c>
      <c r="L44">
        <f t="shared" si="0"/>
        <v>0</v>
      </c>
      <c r="M44" t="s">
        <v>70</v>
      </c>
    </row>
    <row r="45" spans="1:14">
      <c r="A45" t="s">
        <v>69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0"/>
        <v>0</v>
      </c>
      <c r="M45" t="s">
        <v>71</v>
      </c>
      <c r="N45" t="s">
        <v>65</v>
      </c>
    </row>
    <row r="46" spans="1:14">
      <c r="A46" s="3"/>
      <c r="B46" s="3"/>
      <c r="C46" s="3"/>
      <c r="D46" s="3"/>
      <c r="E46" s="3"/>
      <c r="F46" s="3">
        <v>84</v>
      </c>
      <c r="G46" s="3"/>
      <c r="H46" s="3"/>
      <c r="I46" s="3">
        <f t="shared" si="1"/>
        <v>84</v>
      </c>
      <c r="J46" s="3">
        <f t="shared" si="2"/>
        <v>0</v>
      </c>
      <c r="K46" s="3">
        <f t="shared" si="3"/>
        <v>0</v>
      </c>
      <c r="L46" s="3">
        <f t="shared" si="0"/>
        <v>0</v>
      </c>
      <c r="M46" s="3"/>
      <c r="N46" t="s">
        <v>72</v>
      </c>
    </row>
    <row r="47" spans="1:14">
      <c r="A47" t="s">
        <v>74</v>
      </c>
      <c r="B47">
        <v>2</v>
      </c>
      <c r="C47">
        <v>3</v>
      </c>
      <c r="D47">
        <v>3</v>
      </c>
      <c r="F47">
        <v>3</v>
      </c>
      <c r="G47">
        <v>2</v>
      </c>
      <c r="I47">
        <f t="shared" si="1"/>
        <v>5</v>
      </c>
      <c r="J47">
        <f t="shared" si="2"/>
        <v>5</v>
      </c>
      <c r="K47">
        <f t="shared" si="3"/>
        <v>3</v>
      </c>
      <c r="L47">
        <f t="shared" si="0"/>
        <v>0</v>
      </c>
      <c r="M47" t="s">
        <v>76</v>
      </c>
      <c r="N47" t="s">
        <v>65</v>
      </c>
    </row>
    <row r="48" spans="1:14">
      <c r="A48" t="s">
        <v>123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0"/>
        <v>0</v>
      </c>
      <c r="M48" t="s">
        <v>77</v>
      </c>
      <c r="N48" t="s">
        <v>78</v>
      </c>
    </row>
    <row r="49" spans="1:15">
      <c r="A49" s="3"/>
      <c r="B49" s="3"/>
      <c r="C49" s="3"/>
      <c r="D49" s="3"/>
      <c r="E49" s="3"/>
      <c r="F49" s="3"/>
      <c r="G49" s="3"/>
      <c r="H49" s="3"/>
      <c r="I49" s="3">
        <f t="shared" si="1"/>
        <v>0</v>
      </c>
      <c r="J49" s="3">
        <f t="shared" si="2"/>
        <v>0</v>
      </c>
      <c r="K49" s="3">
        <f t="shared" si="3"/>
        <v>0</v>
      </c>
      <c r="L49" s="3">
        <f t="shared" si="0"/>
        <v>0</v>
      </c>
      <c r="M49" s="3" t="s">
        <v>79</v>
      </c>
    </row>
    <row r="50" spans="1:15">
      <c r="A50">
        <v>20</v>
      </c>
      <c r="B50">
        <v>2</v>
      </c>
      <c r="C50">
        <v>3</v>
      </c>
      <c r="D50">
        <v>2</v>
      </c>
      <c r="E50">
        <v>1</v>
      </c>
      <c r="F50">
        <v>3</v>
      </c>
      <c r="G50">
        <v>2</v>
      </c>
      <c r="I50">
        <f t="shared" si="1"/>
        <v>5</v>
      </c>
      <c r="J50">
        <f t="shared" si="2"/>
        <v>5</v>
      </c>
      <c r="K50">
        <f t="shared" si="3"/>
        <v>2</v>
      </c>
      <c r="L50">
        <f t="shared" si="0"/>
        <v>1</v>
      </c>
      <c r="M50" t="s">
        <v>80</v>
      </c>
    </row>
    <row r="51" spans="1:15">
      <c r="A51" s="3"/>
      <c r="B51" s="3"/>
      <c r="C51" s="3"/>
      <c r="D51" s="3"/>
      <c r="E51" s="3"/>
      <c r="F51" s="3"/>
      <c r="G51" s="3"/>
      <c r="H51" s="3"/>
      <c r="I51" s="3">
        <f t="shared" si="1"/>
        <v>0</v>
      </c>
      <c r="J51" s="3">
        <f t="shared" si="2"/>
        <v>0</v>
      </c>
      <c r="K51" s="3">
        <f t="shared" si="3"/>
        <v>0</v>
      </c>
      <c r="L51" s="3">
        <f t="shared" si="0"/>
        <v>0</v>
      </c>
      <c r="M51" s="3" t="s">
        <v>81</v>
      </c>
      <c r="N51" t="s">
        <v>82</v>
      </c>
    </row>
    <row r="52" spans="1:15">
      <c r="A52">
        <v>21</v>
      </c>
      <c r="B52">
        <v>3</v>
      </c>
      <c r="C52">
        <v>3</v>
      </c>
      <c r="D52">
        <v>3</v>
      </c>
      <c r="E52">
        <v>1</v>
      </c>
      <c r="F52">
        <v>3</v>
      </c>
      <c r="G52">
        <v>2</v>
      </c>
      <c r="I52">
        <f t="shared" ref="I52:I70" si="4">B52+F52</f>
        <v>6</v>
      </c>
      <c r="J52">
        <f t="shared" ref="J52:J70" si="5">C52+G52</f>
        <v>5</v>
      </c>
      <c r="K52">
        <f t="shared" ref="K52:L70" si="6">D52</f>
        <v>3</v>
      </c>
      <c r="L52">
        <f t="shared" si="0"/>
        <v>1</v>
      </c>
      <c r="M52" t="s">
        <v>83</v>
      </c>
      <c r="O52" t="s">
        <v>86</v>
      </c>
    </row>
    <row r="53" spans="1:15">
      <c r="I53">
        <f t="shared" si="4"/>
        <v>0</v>
      </c>
      <c r="J53">
        <f t="shared" si="5"/>
        <v>0</v>
      </c>
      <c r="K53">
        <f t="shared" si="6"/>
        <v>0</v>
      </c>
      <c r="L53">
        <f t="shared" si="0"/>
        <v>0</v>
      </c>
      <c r="M53" t="s">
        <v>84</v>
      </c>
      <c r="N53" t="s">
        <v>21</v>
      </c>
      <c r="O53" t="s">
        <v>86</v>
      </c>
    </row>
    <row r="54" spans="1:15">
      <c r="A54" s="3"/>
      <c r="B54" s="3"/>
      <c r="C54" s="3"/>
      <c r="D54" s="3"/>
      <c r="E54" s="3"/>
      <c r="F54" s="3"/>
      <c r="G54" s="3"/>
      <c r="H54" s="3"/>
      <c r="I54" s="3">
        <f t="shared" si="4"/>
        <v>0</v>
      </c>
      <c r="J54" s="3">
        <f t="shared" si="5"/>
        <v>0</v>
      </c>
      <c r="K54" s="3">
        <f t="shared" si="6"/>
        <v>0</v>
      </c>
      <c r="L54" s="3">
        <f t="shared" si="0"/>
        <v>0</v>
      </c>
      <c r="M54" s="3" t="s">
        <v>85</v>
      </c>
      <c r="N54" t="s">
        <v>21</v>
      </c>
      <c r="O54" t="s">
        <v>86</v>
      </c>
    </row>
    <row r="55" spans="1:15">
      <c r="A55" t="s">
        <v>122</v>
      </c>
      <c r="B55">
        <v>3</v>
      </c>
      <c r="C55">
        <v>3</v>
      </c>
      <c r="D55">
        <v>2</v>
      </c>
      <c r="E55">
        <v>2</v>
      </c>
      <c r="F55">
        <v>3</v>
      </c>
      <c r="G55">
        <v>2</v>
      </c>
      <c r="I55">
        <f t="shared" si="4"/>
        <v>6</v>
      </c>
      <c r="J55">
        <f t="shared" si="5"/>
        <v>5</v>
      </c>
      <c r="K55">
        <f t="shared" si="6"/>
        <v>2</v>
      </c>
      <c r="L55">
        <f t="shared" si="0"/>
        <v>2</v>
      </c>
      <c r="M55" t="s">
        <v>91</v>
      </c>
    </row>
    <row r="56" spans="1:15">
      <c r="I56">
        <f t="shared" si="4"/>
        <v>0</v>
      </c>
      <c r="J56">
        <f t="shared" si="5"/>
        <v>0</v>
      </c>
      <c r="K56">
        <f t="shared" si="6"/>
        <v>0</v>
      </c>
      <c r="L56">
        <f t="shared" si="0"/>
        <v>0</v>
      </c>
      <c r="M56" t="s">
        <v>92</v>
      </c>
      <c r="O56" t="s">
        <v>86</v>
      </c>
    </row>
    <row r="57" spans="1:15">
      <c r="A57" s="5" t="s">
        <v>121</v>
      </c>
      <c r="B57" s="5">
        <v>3</v>
      </c>
      <c r="C57" s="5">
        <v>3</v>
      </c>
      <c r="D57" s="5">
        <v>2</v>
      </c>
      <c r="E57" s="5">
        <v>3</v>
      </c>
      <c r="F57" s="5">
        <v>3</v>
      </c>
      <c r="G57" s="5">
        <v>2</v>
      </c>
      <c r="H57" s="5"/>
      <c r="I57" s="5">
        <f t="shared" si="4"/>
        <v>6</v>
      </c>
      <c r="J57" s="5">
        <f t="shared" si="5"/>
        <v>5</v>
      </c>
      <c r="K57" s="5">
        <f t="shared" si="6"/>
        <v>2</v>
      </c>
      <c r="L57" s="5">
        <f t="shared" si="0"/>
        <v>3</v>
      </c>
      <c r="M57" s="5" t="s">
        <v>95</v>
      </c>
    </row>
    <row r="58" spans="1:15">
      <c r="A58" s="3"/>
      <c r="B58" s="3"/>
      <c r="C58" s="3"/>
      <c r="D58" s="3"/>
      <c r="E58" s="3"/>
      <c r="F58" s="3"/>
      <c r="G58" s="3"/>
      <c r="H58" s="3"/>
      <c r="I58" s="3">
        <f t="shared" si="4"/>
        <v>0</v>
      </c>
      <c r="J58" s="3">
        <f t="shared" si="5"/>
        <v>0</v>
      </c>
      <c r="K58" s="3">
        <f t="shared" si="6"/>
        <v>0</v>
      </c>
      <c r="L58" s="3">
        <f t="shared" si="0"/>
        <v>0</v>
      </c>
      <c r="M58" s="3" t="s">
        <v>96</v>
      </c>
    </row>
    <row r="59" spans="1:15">
      <c r="A59">
        <v>24</v>
      </c>
      <c r="B59">
        <v>1</v>
      </c>
      <c r="C59">
        <v>4</v>
      </c>
      <c r="D59">
        <v>1</v>
      </c>
      <c r="F59">
        <v>3</v>
      </c>
      <c r="G59">
        <v>2</v>
      </c>
      <c r="I59">
        <f t="shared" si="4"/>
        <v>4</v>
      </c>
      <c r="J59">
        <f t="shared" si="5"/>
        <v>6</v>
      </c>
      <c r="K59">
        <f t="shared" si="6"/>
        <v>1</v>
      </c>
      <c r="L59">
        <f t="shared" si="0"/>
        <v>0</v>
      </c>
      <c r="M59" t="s">
        <v>97</v>
      </c>
      <c r="N59" t="s">
        <v>98</v>
      </c>
    </row>
    <row r="60" spans="1:15">
      <c r="I60">
        <f t="shared" si="4"/>
        <v>0</v>
      </c>
      <c r="J60">
        <f t="shared" si="5"/>
        <v>0</v>
      </c>
      <c r="K60">
        <f t="shared" si="6"/>
        <v>0</v>
      </c>
      <c r="L60">
        <f t="shared" si="0"/>
        <v>0</v>
      </c>
      <c r="M60" t="s">
        <v>99</v>
      </c>
      <c r="N60" t="s">
        <v>100</v>
      </c>
    </row>
    <row r="61" spans="1:15">
      <c r="A61" s="3"/>
      <c r="B61" s="3"/>
      <c r="C61" s="3"/>
      <c r="D61" s="3"/>
      <c r="E61" s="3"/>
      <c r="F61" s="3"/>
      <c r="G61" s="3"/>
      <c r="H61" s="3"/>
      <c r="I61" s="3">
        <f t="shared" si="4"/>
        <v>0</v>
      </c>
      <c r="J61" s="3">
        <f t="shared" si="5"/>
        <v>0</v>
      </c>
      <c r="K61" s="3">
        <f t="shared" si="6"/>
        <v>0</v>
      </c>
      <c r="L61" s="3">
        <f t="shared" si="0"/>
        <v>0</v>
      </c>
      <c r="M61" s="3" t="s">
        <v>101</v>
      </c>
    </row>
    <row r="62" spans="1:15">
      <c r="A62" s="6">
        <v>25</v>
      </c>
      <c r="B62" s="6">
        <v>2</v>
      </c>
      <c r="C62" s="6">
        <v>4</v>
      </c>
      <c r="D62" s="6">
        <v>3</v>
      </c>
      <c r="E62" s="6"/>
      <c r="F62" s="6">
        <v>3</v>
      </c>
      <c r="G62" s="6">
        <v>2</v>
      </c>
      <c r="H62" s="6"/>
      <c r="I62" s="6">
        <f t="shared" si="4"/>
        <v>5</v>
      </c>
      <c r="J62" s="6">
        <f t="shared" si="5"/>
        <v>6</v>
      </c>
      <c r="K62" s="6">
        <f t="shared" si="6"/>
        <v>3</v>
      </c>
      <c r="L62" s="6">
        <f t="shared" si="0"/>
        <v>0</v>
      </c>
      <c r="M62" s="6" t="s">
        <v>102</v>
      </c>
      <c r="N62" t="s">
        <v>103</v>
      </c>
    </row>
    <row r="63" spans="1:15">
      <c r="A63" s="5" t="s">
        <v>120</v>
      </c>
      <c r="B63" s="5">
        <v>2</v>
      </c>
      <c r="C63" s="5">
        <v>4</v>
      </c>
      <c r="D63" s="5">
        <v>2</v>
      </c>
      <c r="E63" s="5">
        <v>2</v>
      </c>
      <c r="F63" s="5">
        <v>3</v>
      </c>
      <c r="G63" s="5">
        <v>2</v>
      </c>
      <c r="H63" s="5"/>
      <c r="I63" s="5">
        <f t="shared" si="4"/>
        <v>5</v>
      </c>
      <c r="J63" s="5">
        <f t="shared" si="5"/>
        <v>6</v>
      </c>
      <c r="K63" s="5">
        <f t="shared" si="6"/>
        <v>2</v>
      </c>
      <c r="L63" s="5">
        <f t="shared" si="0"/>
        <v>2</v>
      </c>
      <c r="M63" s="5" t="s">
        <v>106</v>
      </c>
      <c r="N63" t="s">
        <v>107</v>
      </c>
      <c r="O63" t="s">
        <v>52</v>
      </c>
    </row>
    <row r="64" spans="1:15">
      <c r="A64">
        <v>27</v>
      </c>
      <c r="B64">
        <v>4</v>
      </c>
      <c r="C64">
        <v>4</v>
      </c>
      <c r="D64">
        <v>4</v>
      </c>
      <c r="E64">
        <v>1</v>
      </c>
      <c r="F64">
        <v>3</v>
      </c>
      <c r="G64">
        <v>2</v>
      </c>
      <c r="I64">
        <f t="shared" si="4"/>
        <v>7</v>
      </c>
      <c r="J64">
        <f t="shared" si="5"/>
        <v>6</v>
      </c>
      <c r="K64">
        <f t="shared" si="6"/>
        <v>4</v>
      </c>
      <c r="L64">
        <f t="shared" si="0"/>
        <v>1</v>
      </c>
      <c r="M64" t="s">
        <v>108</v>
      </c>
      <c r="O64" t="s">
        <v>86</v>
      </c>
    </row>
    <row r="65" spans="1:15">
      <c r="I65">
        <f t="shared" si="4"/>
        <v>0</v>
      </c>
      <c r="J65">
        <f t="shared" si="5"/>
        <v>0</v>
      </c>
      <c r="K65">
        <f t="shared" si="6"/>
        <v>0</v>
      </c>
      <c r="L65">
        <f t="shared" si="0"/>
        <v>0</v>
      </c>
      <c r="M65" t="s">
        <v>109</v>
      </c>
      <c r="O65" t="s">
        <v>86</v>
      </c>
    </row>
    <row r="66" spans="1:15">
      <c r="I66">
        <f t="shared" si="4"/>
        <v>0</v>
      </c>
      <c r="J66">
        <f t="shared" si="5"/>
        <v>0</v>
      </c>
      <c r="K66">
        <f t="shared" si="6"/>
        <v>0</v>
      </c>
      <c r="L66">
        <f t="shared" si="6"/>
        <v>0</v>
      </c>
      <c r="M66" t="s">
        <v>110</v>
      </c>
      <c r="O66" t="s">
        <v>86</v>
      </c>
    </row>
    <row r="67" spans="1:15">
      <c r="A67" s="3"/>
      <c r="B67" s="3"/>
      <c r="C67" s="3"/>
      <c r="D67" s="3"/>
      <c r="E67" s="3"/>
      <c r="F67" s="3"/>
      <c r="G67" s="3"/>
      <c r="H67" s="3"/>
      <c r="I67" s="3">
        <f t="shared" si="4"/>
        <v>0</v>
      </c>
      <c r="J67" s="3">
        <f t="shared" si="5"/>
        <v>0</v>
      </c>
      <c r="K67" s="3">
        <f t="shared" si="6"/>
        <v>0</v>
      </c>
      <c r="L67" s="3">
        <f t="shared" si="6"/>
        <v>0</v>
      </c>
      <c r="M67" s="3" t="s">
        <v>111</v>
      </c>
      <c r="O67" t="s">
        <v>86</v>
      </c>
    </row>
    <row r="68" spans="1:15">
      <c r="A68" t="s">
        <v>119</v>
      </c>
      <c r="B68">
        <v>4</v>
      </c>
      <c r="C68">
        <v>4</v>
      </c>
      <c r="D68">
        <v>3</v>
      </c>
      <c r="E68">
        <v>2</v>
      </c>
      <c r="F68">
        <v>3</v>
      </c>
      <c r="G68">
        <v>2</v>
      </c>
      <c r="I68">
        <f t="shared" si="4"/>
        <v>7</v>
      </c>
      <c r="J68">
        <f t="shared" si="5"/>
        <v>6</v>
      </c>
      <c r="K68">
        <f t="shared" si="6"/>
        <v>3</v>
      </c>
      <c r="L68">
        <f t="shared" si="6"/>
        <v>2</v>
      </c>
      <c r="M68" t="s">
        <v>116</v>
      </c>
      <c r="O68" t="s">
        <v>86</v>
      </c>
    </row>
    <row r="69" spans="1:15">
      <c r="A69" s="6">
        <v>29</v>
      </c>
      <c r="B69" s="6">
        <v>3</v>
      </c>
      <c r="C69" s="6">
        <v>4</v>
      </c>
      <c r="D69" s="6">
        <v>3</v>
      </c>
      <c r="E69" s="6">
        <v>2</v>
      </c>
      <c r="F69" s="6">
        <v>3</v>
      </c>
      <c r="G69" s="6">
        <v>2</v>
      </c>
      <c r="H69" s="6"/>
      <c r="I69" s="6">
        <f t="shared" si="4"/>
        <v>6</v>
      </c>
      <c r="J69" s="6">
        <f t="shared" si="5"/>
        <v>6</v>
      </c>
      <c r="K69" s="6">
        <f t="shared" si="6"/>
        <v>3</v>
      </c>
      <c r="L69" s="6">
        <f t="shared" si="6"/>
        <v>2</v>
      </c>
      <c r="M69" s="6"/>
      <c r="N69" t="s">
        <v>117</v>
      </c>
    </row>
    <row r="70" spans="1:15">
      <c r="A70" s="6">
        <v>30</v>
      </c>
      <c r="B70" s="6">
        <v>3</v>
      </c>
      <c r="C70" s="6">
        <v>3</v>
      </c>
      <c r="D70" s="6">
        <v>4</v>
      </c>
      <c r="E70" s="6"/>
      <c r="F70" s="6">
        <v>3</v>
      </c>
      <c r="G70" s="6">
        <v>2</v>
      </c>
      <c r="H70" s="6"/>
      <c r="I70" s="6">
        <f t="shared" si="4"/>
        <v>6</v>
      </c>
      <c r="J70" s="6">
        <f t="shared" si="5"/>
        <v>5</v>
      </c>
      <c r="K70" s="6">
        <f t="shared" si="6"/>
        <v>4</v>
      </c>
      <c r="L70" s="6">
        <f t="shared" si="6"/>
        <v>0</v>
      </c>
      <c r="M70" s="6" t="s">
        <v>118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368D-1FFD-A544-9BE8-30253F424F42}">
  <dimension ref="A1:W54"/>
  <sheetViews>
    <sheetView workbookViewId="0">
      <pane ySplit="1" topLeftCell="A2" activePane="bottomLeft" state="frozen"/>
      <selection pane="bottomLeft" sqref="A1:M54"/>
    </sheetView>
  </sheetViews>
  <sheetFormatPr baseColWidth="10" defaultRowHeight="20"/>
  <cols>
    <col min="10" max="10" width="19.85546875" bestFit="1" customWidth="1"/>
    <col min="11" max="11" width="13.5703125" bestFit="1" customWidth="1"/>
    <col min="12" max="12" width="23" bestFit="1" customWidth="1"/>
    <col min="14" max="14" width="12.7109375" bestFit="1" customWidth="1"/>
    <col min="17" max="17" width="38.42578125" bestFit="1" customWidth="1"/>
  </cols>
  <sheetData>
    <row r="1" spans="1:19">
      <c r="A1" s="8"/>
      <c r="B1" s="8" t="s">
        <v>0</v>
      </c>
      <c r="C1" s="8" t="s">
        <v>11</v>
      </c>
      <c r="D1" s="8" t="s">
        <v>12</v>
      </c>
      <c r="E1" s="8" t="s">
        <v>44</v>
      </c>
      <c r="F1" s="8" t="s">
        <v>1</v>
      </c>
      <c r="G1" s="8" t="s">
        <v>2</v>
      </c>
      <c r="H1" s="8"/>
      <c r="I1" s="15" t="s">
        <v>14</v>
      </c>
      <c r="J1" s="15" t="s">
        <v>13</v>
      </c>
      <c r="K1" s="15" t="s">
        <v>15</v>
      </c>
      <c r="L1" s="15" t="s">
        <v>45</v>
      </c>
      <c r="M1" s="8"/>
      <c r="O1" t="s">
        <v>133</v>
      </c>
    </row>
    <row r="2" spans="1:19">
      <c r="A2" s="9">
        <v>1</v>
      </c>
      <c r="B2" s="9">
        <v>3</v>
      </c>
      <c r="C2" s="9"/>
      <c r="D2" s="9"/>
      <c r="E2" s="9"/>
      <c r="F2" s="9">
        <v>3</v>
      </c>
      <c r="G2" s="9">
        <v>2</v>
      </c>
      <c r="H2" s="9"/>
      <c r="I2" s="9">
        <f>B2+F2</f>
        <v>6</v>
      </c>
      <c r="J2" s="9">
        <f>C2+G2</f>
        <v>2</v>
      </c>
      <c r="K2" s="9">
        <f>D2</f>
        <v>0</v>
      </c>
      <c r="L2" s="9">
        <f>E2</f>
        <v>0</v>
      </c>
      <c r="M2" s="9" t="s">
        <v>6</v>
      </c>
    </row>
    <row r="3" spans="1:19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 t="s">
        <v>7</v>
      </c>
    </row>
    <row r="4" spans="1:19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131</v>
      </c>
    </row>
    <row r="5" spans="1:19">
      <c r="A5" s="9" t="s">
        <v>130</v>
      </c>
      <c r="B5" s="9">
        <v>4</v>
      </c>
      <c r="C5" s="9"/>
      <c r="D5" s="9"/>
      <c r="E5" s="9"/>
      <c r="F5" s="9">
        <v>3</v>
      </c>
      <c r="G5" s="9">
        <v>2</v>
      </c>
      <c r="H5" s="9"/>
      <c r="I5" s="9">
        <f>B5+F5</f>
        <v>7</v>
      </c>
      <c r="J5" s="9">
        <f>C5+G5</f>
        <v>2</v>
      </c>
      <c r="K5" s="9">
        <f>D5</f>
        <v>0</v>
      </c>
      <c r="L5" s="9">
        <f t="shared" ref="L5:L46" si="0">E5</f>
        <v>0</v>
      </c>
      <c r="M5" s="9" t="s">
        <v>3</v>
      </c>
    </row>
    <row r="6" spans="1:19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 t="s">
        <v>4</v>
      </c>
    </row>
    <row r="7" spans="1:1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1" t="s">
        <v>5</v>
      </c>
    </row>
    <row r="8" spans="1:19">
      <c r="A8" s="9"/>
      <c r="B8" s="9"/>
      <c r="C8" s="9"/>
      <c r="D8" s="9"/>
      <c r="E8" s="9"/>
      <c r="F8" s="9"/>
      <c r="G8" s="9"/>
      <c r="H8" s="9"/>
      <c r="I8" s="10"/>
      <c r="J8" s="10"/>
      <c r="K8" s="10"/>
      <c r="L8" s="10"/>
      <c r="M8" s="12" t="s">
        <v>132</v>
      </c>
    </row>
    <row r="9" spans="1:19">
      <c r="A9" s="13">
        <v>3</v>
      </c>
      <c r="B9" s="13">
        <v>5</v>
      </c>
      <c r="C9" s="13"/>
      <c r="D9" s="13"/>
      <c r="E9" s="13"/>
      <c r="F9" s="13">
        <v>3</v>
      </c>
      <c r="G9" s="13">
        <v>2</v>
      </c>
      <c r="H9" s="13"/>
      <c r="I9" s="9">
        <f>B9+F9</f>
        <v>8</v>
      </c>
      <c r="J9" s="9">
        <f>C9+G9</f>
        <v>2</v>
      </c>
      <c r="K9" s="9">
        <f>D9</f>
        <v>0</v>
      </c>
      <c r="L9" s="9">
        <f t="shared" si="0"/>
        <v>0</v>
      </c>
      <c r="M9" s="11" t="s">
        <v>8</v>
      </c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2" t="s">
        <v>9</v>
      </c>
    </row>
    <row r="11" spans="1:19">
      <c r="A11" s="14">
        <v>4</v>
      </c>
      <c r="B11" s="14">
        <v>6</v>
      </c>
      <c r="C11" s="10"/>
      <c r="D11" s="10"/>
      <c r="E11" s="10"/>
      <c r="F11" s="10">
        <v>3</v>
      </c>
      <c r="G11" s="10">
        <v>2</v>
      </c>
      <c r="H11" s="10"/>
      <c r="I11" s="10">
        <f>B11+F11</f>
        <v>9</v>
      </c>
      <c r="J11" s="10">
        <f>C11+G11</f>
        <v>2</v>
      </c>
      <c r="K11" s="10">
        <f>D11</f>
        <v>0</v>
      </c>
      <c r="L11" s="14">
        <f t="shared" si="0"/>
        <v>0</v>
      </c>
      <c r="M11" s="12" t="s">
        <v>10</v>
      </c>
    </row>
    <row r="12" spans="1:19">
      <c r="A12" s="9">
        <v>5</v>
      </c>
      <c r="B12" s="9">
        <v>2</v>
      </c>
      <c r="C12" s="9">
        <v>1</v>
      </c>
      <c r="D12" s="9">
        <v>2</v>
      </c>
      <c r="E12" s="9"/>
      <c r="F12" s="9">
        <v>3</v>
      </c>
      <c r="G12" s="9">
        <v>2</v>
      </c>
      <c r="H12" s="9"/>
      <c r="I12" s="9">
        <f>B12+F12</f>
        <v>5</v>
      </c>
      <c r="J12" s="9">
        <f>C12+G12</f>
        <v>3</v>
      </c>
      <c r="K12" s="9">
        <f>D12</f>
        <v>2</v>
      </c>
      <c r="L12" s="9">
        <f t="shared" si="0"/>
        <v>0</v>
      </c>
      <c r="M12" s="11" t="s">
        <v>16</v>
      </c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2" t="s">
        <v>17</v>
      </c>
    </row>
    <row r="14" spans="1:19">
      <c r="A14" s="14">
        <v>6</v>
      </c>
      <c r="B14" s="14">
        <v>3</v>
      </c>
      <c r="C14" s="14">
        <v>1</v>
      </c>
      <c r="D14" s="14">
        <v>2</v>
      </c>
      <c r="E14" s="14"/>
      <c r="F14" s="14">
        <v>3</v>
      </c>
      <c r="G14" s="14">
        <v>2</v>
      </c>
      <c r="H14" s="14"/>
      <c r="I14" s="14">
        <f t="shared" ref="I14:J18" si="1">B14+F14</f>
        <v>6</v>
      </c>
      <c r="J14" s="10">
        <f t="shared" si="1"/>
        <v>3</v>
      </c>
      <c r="K14" s="10">
        <f>D14</f>
        <v>2</v>
      </c>
      <c r="L14" s="14">
        <f t="shared" si="0"/>
        <v>0</v>
      </c>
      <c r="M14" s="12"/>
      <c r="N14" t="s">
        <v>147</v>
      </c>
      <c r="Q14" s="4" t="s">
        <v>18</v>
      </c>
    </row>
    <row r="15" spans="1:19">
      <c r="A15" s="14">
        <v>7</v>
      </c>
      <c r="B15" s="14"/>
      <c r="C15" s="14">
        <v>2</v>
      </c>
      <c r="D15" s="14">
        <v>1</v>
      </c>
      <c r="E15" s="14"/>
      <c r="F15" s="14">
        <v>3</v>
      </c>
      <c r="G15" s="14">
        <v>2</v>
      </c>
      <c r="H15" s="14"/>
      <c r="I15" s="14">
        <f t="shared" si="1"/>
        <v>3</v>
      </c>
      <c r="J15" s="14">
        <f t="shared" si="1"/>
        <v>4</v>
      </c>
      <c r="K15" s="14">
        <f>D15</f>
        <v>1</v>
      </c>
      <c r="L15" s="14">
        <f t="shared" si="0"/>
        <v>0</v>
      </c>
      <c r="M15" s="16" t="s">
        <v>19</v>
      </c>
      <c r="Q15" s="4" t="s">
        <v>20</v>
      </c>
      <c r="R15" t="s">
        <v>21</v>
      </c>
    </row>
    <row r="16" spans="1:19">
      <c r="A16" s="9">
        <v>8</v>
      </c>
      <c r="B16" s="9">
        <v>2</v>
      </c>
      <c r="C16" s="9">
        <v>2</v>
      </c>
      <c r="D16" s="9"/>
      <c r="E16" s="9"/>
      <c r="F16" s="9">
        <v>3</v>
      </c>
      <c r="G16" s="9">
        <v>2</v>
      </c>
      <c r="H16" s="9"/>
      <c r="I16" s="9">
        <f t="shared" si="1"/>
        <v>5</v>
      </c>
      <c r="J16" s="9">
        <f t="shared" si="1"/>
        <v>4</v>
      </c>
      <c r="K16" s="9">
        <f>D16</f>
        <v>0</v>
      </c>
      <c r="L16" s="9">
        <f t="shared" si="0"/>
        <v>0</v>
      </c>
      <c r="M16" s="11" t="s">
        <v>22</v>
      </c>
      <c r="Q16" s="1" t="s">
        <v>23</v>
      </c>
      <c r="R16" s="1" t="s">
        <v>24</v>
      </c>
      <c r="S16" s="4" t="s">
        <v>25</v>
      </c>
    </row>
    <row r="17" spans="1:23">
      <c r="A17" s="10"/>
      <c r="B17" s="10"/>
      <c r="C17" s="10"/>
      <c r="D17" s="10"/>
      <c r="E17" s="10"/>
      <c r="F17" s="10"/>
      <c r="G17" s="10"/>
      <c r="H17" s="10"/>
      <c r="I17" s="10">
        <f t="shared" si="1"/>
        <v>0</v>
      </c>
      <c r="J17" s="10">
        <f t="shared" si="1"/>
        <v>0</v>
      </c>
      <c r="K17" s="10">
        <f>D17</f>
        <v>0</v>
      </c>
      <c r="L17" s="10">
        <f t="shared" si="0"/>
        <v>0</v>
      </c>
      <c r="M17" s="12"/>
      <c r="N17" t="s">
        <v>147</v>
      </c>
    </row>
    <row r="18" spans="1:23">
      <c r="A18" s="9" t="s">
        <v>28</v>
      </c>
      <c r="B18" s="9">
        <v>1</v>
      </c>
      <c r="C18" s="9">
        <v>2</v>
      </c>
      <c r="D18" s="9">
        <v>2</v>
      </c>
      <c r="E18" s="9"/>
      <c r="F18" s="9">
        <v>3</v>
      </c>
      <c r="G18" s="9">
        <v>2</v>
      </c>
      <c r="H18" s="9"/>
      <c r="I18" s="9">
        <f t="shared" si="1"/>
        <v>4</v>
      </c>
      <c r="J18" s="9">
        <f t="shared" si="1"/>
        <v>4</v>
      </c>
      <c r="K18" s="9">
        <f>D18</f>
        <v>2</v>
      </c>
      <c r="L18" s="9">
        <f t="shared" si="0"/>
        <v>0</v>
      </c>
      <c r="M18" s="11" t="s">
        <v>26</v>
      </c>
    </row>
    <row r="19" spans="1:23">
      <c r="A19" s="10" t="s">
        <v>30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2" t="s">
        <v>31</v>
      </c>
    </row>
    <row r="20" spans="1:23">
      <c r="A20" s="9" t="s">
        <v>127</v>
      </c>
      <c r="B20" s="9">
        <v>2</v>
      </c>
      <c r="C20" s="9">
        <v>2</v>
      </c>
      <c r="D20" s="9">
        <v>1</v>
      </c>
      <c r="E20" s="9"/>
      <c r="F20" s="9">
        <v>3</v>
      </c>
      <c r="G20" s="9">
        <v>2</v>
      </c>
      <c r="H20" s="9"/>
      <c r="I20" s="9">
        <f>B20+F20</f>
        <v>5</v>
      </c>
      <c r="J20" s="9">
        <f>C20+G20</f>
        <v>4</v>
      </c>
      <c r="K20" s="9">
        <f>D20</f>
        <v>1</v>
      </c>
      <c r="L20" s="9">
        <f t="shared" si="0"/>
        <v>0</v>
      </c>
      <c r="M20" s="11"/>
      <c r="N20" t="s">
        <v>147</v>
      </c>
      <c r="Q20" s="1" t="s">
        <v>38</v>
      </c>
      <c r="S20" t="s">
        <v>33</v>
      </c>
      <c r="T20" t="s">
        <v>34</v>
      </c>
      <c r="U20" t="s">
        <v>35</v>
      </c>
      <c r="V20" t="s">
        <v>36</v>
      </c>
      <c r="W20" s="3" t="s">
        <v>37</v>
      </c>
    </row>
    <row r="21" spans="1:23">
      <c r="A21" s="10" t="s">
        <v>129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t="s">
        <v>147</v>
      </c>
    </row>
    <row r="22" spans="1:23">
      <c r="A22" s="14">
        <v>11</v>
      </c>
      <c r="B22" s="14">
        <v>2</v>
      </c>
      <c r="C22" s="14">
        <v>2</v>
      </c>
      <c r="D22" s="14">
        <v>3</v>
      </c>
      <c r="E22" s="14"/>
      <c r="F22" s="14">
        <v>3</v>
      </c>
      <c r="G22" s="14">
        <v>2</v>
      </c>
      <c r="H22" s="14"/>
      <c r="I22" s="14">
        <f>B22+F22</f>
        <v>5</v>
      </c>
      <c r="J22" s="14">
        <f>C22+G22</f>
        <v>4</v>
      </c>
      <c r="K22" s="14">
        <f>D22</f>
        <v>3</v>
      </c>
      <c r="L22" s="14">
        <f t="shared" si="0"/>
        <v>0</v>
      </c>
      <c r="M22" s="14" t="s">
        <v>40</v>
      </c>
      <c r="N22" s="2"/>
      <c r="Q22" s="1" t="s">
        <v>134</v>
      </c>
      <c r="R22" t="s">
        <v>21</v>
      </c>
      <c r="S22" t="s">
        <v>42</v>
      </c>
      <c r="T22" t="s">
        <v>41</v>
      </c>
    </row>
    <row r="23" spans="1:23">
      <c r="A23" s="9" t="s">
        <v>126</v>
      </c>
      <c r="B23" s="9">
        <v>2</v>
      </c>
      <c r="C23" s="9">
        <v>2</v>
      </c>
      <c r="D23" s="9">
        <v>2</v>
      </c>
      <c r="E23" s="9">
        <v>1</v>
      </c>
      <c r="F23" s="9">
        <v>3</v>
      </c>
      <c r="G23" s="9">
        <v>2</v>
      </c>
      <c r="H23" s="9"/>
      <c r="I23" s="9">
        <f>B23+F23</f>
        <v>5</v>
      </c>
      <c r="J23" s="9">
        <f>C23+G23</f>
        <v>4</v>
      </c>
      <c r="K23" s="9">
        <f>D23</f>
        <v>2</v>
      </c>
      <c r="L23" s="9">
        <f t="shared" si="0"/>
        <v>1</v>
      </c>
      <c r="M23" s="9" t="s">
        <v>46</v>
      </c>
    </row>
    <row r="24" spans="1:2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47</v>
      </c>
      <c r="Q24" t="s">
        <v>48</v>
      </c>
    </row>
    <row r="25" spans="1:23">
      <c r="A25" s="14">
        <v>13</v>
      </c>
      <c r="B25" s="14">
        <v>2</v>
      </c>
      <c r="C25" s="14">
        <v>2</v>
      </c>
      <c r="D25" s="14">
        <v>2</v>
      </c>
      <c r="E25" s="14">
        <v>2</v>
      </c>
      <c r="F25" s="14">
        <v>3</v>
      </c>
      <c r="G25" s="14">
        <v>2</v>
      </c>
      <c r="H25" s="14"/>
      <c r="I25" s="14">
        <f t="shared" ref="I25:J29" si="2">B25+F25</f>
        <v>5</v>
      </c>
      <c r="J25" s="14">
        <f t="shared" si="2"/>
        <v>4</v>
      </c>
      <c r="K25" s="14">
        <f>D25</f>
        <v>2</v>
      </c>
      <c r="L25" s="14">
        <f t="shared" si="0"/>
        <v>2</v>
      </c>
      <c r="M25" s="14" t="s">
        <v>49</v>
      </c>
    </row>
    <row r="26" spans="1:23">
      <c r="A26" s="9" t="s">
        <v>125</v>
      </c>
      <c r="B26" s="9">
        <v>2</v>
      </c>
      <c r="C26" s="9">
        <v>2</v>
      </c>
      <c r="D26" s="9">
        <v>1</v>
      </c>
      <c r="E26" s="9">
        <v>3</v>
      </c>
      <c r="F26" s="9">
        <v>3</v>
      </c>
      <c r="G26" s="9">
        <v>2</v>
      </c>
      <c r="H26" s="9"/>
      <c r="I26" s="9">
        <f t="shared" si="2"/>
        <v>5</v>
      </c>
      <c r="J26" s="9">
        <f t="shared" si="2"/>
        <v>4</v>
      </c>
      <c r="K26" s="9">
        <f>D26</f>
        <v>1</v>
      </c>
      <c r="L26" s="9">
        <f t="shared" si="0"/>
        <v>3</v>
      </c>
      <c r="M26" s="9" t="s">
        <v>51</v>
      </c>
      <c r="O26">
        <v>0</v>
      </c>
    </row>
    <row r="27" spans="1:23">
      <c r="A27" s="14">
        <v>15</v>
      </c>
      <c r="B27" s="14">
        <v>2</v>
      </c>
      <c r="C27" s="14">
        <v>2</v>
      </c>
      <c r="D27" s="14">
        <v>1</v>
      </c>
      <c r="E27" s="14">
        <v>4</v>
      </c>
      <c r="F27" s="14">
        <v>3</v>
      </c>
      <c r="G27" s="14">
        <v>2</v>
      </c>
      <c r="H27" s="14"/>
      <c r="I27" s="14">
        <f t="shared" si="2"/>
        <v>5</v>
      </c>
      <c r="J27" s="14">
        <f t="shared" si="2"/>
        <v>4</v>
      </c>
      <c r="K27" s="14">
        <f>D27</f>
        <v>1</v>
      </c>
      <c r="L27" s="14">
        <f t="shared" si="0"/>
        <v>4</v>
      </c>
      <c r="M27" s="14" t="s">
        <v>135</v>
      </c>
      <c r="O27">
        <v>0</v>
      </c>
      <c r="Q27" t="s">
        <v>136</v>
      </c>
    </row>
    <row r="28" spans="1:23">
      <c r="A28" s="14">
        <v>16</v>
      </c>
      <c r="B28" s="14"/>
      <c r="C28" s="14">
        <v>3</v>
      </c>
      <c r="D28" s="14">
        <v>1</v>
      </c>
      <c r="E28" s="14"/>
      <c r="F28" s="14">
        <v>3</v>
      </c>
      <c r="G28" s="14">
        <v>2</v>
      </c>
      <c r="H28" s="14"/>
      <c r="I28" s="14">
        <f t="shared" si="2"/>
        <v>3</v>
      </c>
      <c r="J28" s="14">
        <f t="shared" si="2"/>
        <v>5</v>
      </c>
      <c r="K28" s="14">
        <f>D28</f>
        <v>1</v>
      </c>
      <c r="L28" s="14">
        <f t="shared" si="0"/>
        <v>0</v>
      </c>
      <c r="M28" s="14" t="s">
        <v>55</v>
      </c>
      <c r="Q28" s="3" t="s">
        <v>56</v>
      </c>
      <c r="R28" t="s">
        <v>57</v>
      </c>
    </row>
    <row r="29" spans="1:23">
      <c r="A29" s="9" t="s">
        <v>124</v>
      </c>
      <c r="B29" s="9">
        <v>1</v>
      </c>
      <c r="C29" s="9">
        <v>3</v>
      </c>
      <c r="D29" s="9">
        <v>1</v>
      </c>
      <c r="E29" s="9"/>
      <c r="F29" s="9">
        <v>3</v>
      </c>
      <c r="G29" s="9">
        <v>2</v>
      </c>
      <c r="H29" s="9"/>
      <c r="I29" s="9">
        <f t="shared" si="2"/>
        <v>4</v>
      </c>
      <c r="J29" s="9">
        <f t="shared" si="2"/>
        <v>5</v>
      </c>
      <c r="K29" s="9">
        <f>D29</f>
        <v>1</v>
      </c>
      <c r="L29" s="9">
        <f t="shared" si="0"/>
        <v>0</v>
      </c>
      <c r="M29" s="9" t="s">
        <v>137</v>
      </c>
      <c r="Q29" t="s">
        <v>61</v>
      </c>
      <c r="R29" t="s">
        <v>62</v>
      </c>
      <c r="S29" s="3" t="s">
        <v>64</v>
      </c>
      <c r="T29" t="s">
        <v>65</v>
      </c>
    </row>
    <row r="30" spans="1:2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 t="s">
        <v>63</v>
      </c>
    </row>
    <row r="31" spans="1:2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138</v>
      </c>
    </row>
    <row r="32" spans="1:23">
      <c r="A32" s="13" t="s">
        <v>67</v>
      </c>
      <c r="B32" s="13">
        <v>1</v>
      </c>
      <c r="C32" s="13">
        <v>3</v>
      </c>
      <c r="D32" s="13">
        <v>2</v>
      </c>
      <c r="E32" s="13"/>
      <c r="F32" s="13">
        <v>3</v>
      </c>
      <c r="G32" s="13">
        <v>2</v>
      </c>
      <c r="H32" s="13"/>
      <c r="I32" s="13">
        <f>B32+F32</f>
        <v>4</v>
      </c>
      <c r="J32" s="13">
        <f>C32+G32</f>
        <v>5</v>
      </c>
      <c r="K32" s="13">
        <f>D32</f>
        <v>2</v>
      </c>
      <c r="L32" s="13">
        <f t="shared" si="0"/>
        <v>0</v>
      </c>
      <c r="M32" s="13" t="s">
        <v>70</v>
      </c>
      <c r="Q32" t="s">
        <v>71</v>
      </c>
      <c r="R32" t="s">
        <v>65</v>
      </c>
      <c r="T32" t="s">
        <v>72</v>
      </c>
    </row>
    <row r="33" spans="1:23">
      <c r="A33" s="10" t="s">
        <v>69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t="s">
        <v>148</v>
      </c>
    </row>
    <row r="34" spans="1:23">
      <c r="A34" s="9" t="s">
        <v>74</v>
      </c>
      <c r="B34" s="9">
        <v>2</v>
      </c>
      <c r="C34" s="9">
        <v>3</v>
      </c>
      <c r="D34" s="9">
        <v>3</v>
      </c>
      <c r="E34" s="9"/>
      <c r="F34" s="9">
        <v>3</v>
      </c>
      <c r="G34" s="9">
        <v>2</v>
      </c>
      <c r="H34" s="9"/>
      <c r="I34" s="9">
        <f t="shared" ref="I34:J36" si="3">B34+F34</f>
        <v>5</v>
      </c>
      <c r="J34" s="9">
        <f t="shared" si="3"/>
        <v>5</v>
      </c>
      <c r="K34" s="9">
        <f>D34</f>
        <v>3</v>
      </c>
      <c r="L34" s="9">
        <f t="shared" si="0"/>
        <v>0</v>
      </c>
      <c r="M34" s="9" t="s">
        <v>79</v>
      </c>
      <c r="Q34" t="s">
        <v>76</v>
      </c>
      <c r="R34" t="s">
        <v>65</v>
      </c>
      <c r="T34" t="s">
        <v>77</v>
      </c>
      <c r="U34" t="s">
        <v>78</v>
      </c>
    </row>
    <row r="35" spans="1:23">
      <c r="A35" s="10" t="s">
        <v>123</v>
      </c>
      <c r="B35" s="10"/>
      <c r="C35" s="10"/>
      <c r="D35" s="10"/>
      <c r="E35" s="10"/>
      <c r="F35" s="10"/>
      <c r="G35" s="10"/>
      <c r="H35" s="10"/>
      <c r="I35" s="10">
        <f t="shared" si="3"/>
        <v>0</v>
      </c>
      <c r="J35" s="10">
        <f t="shared" si="3"/>
        <v>0</v>
      </c>
      <c r="K35" s="10">
        <f>D35</f>
        <v>0</v>
      </c>
      <c r="L35" s="10">
        <f t="shared" si="0"/>
        <v>0</v>
      </c>
      <c r="M35" s="10"/>
      <c r="N35" s="17" t="s">
        <v>146</v>
      </c>
    </row>
    <row r="36" spans="1:23">
      <c r="A36" s="14">
        <v>20</v>
      </c>
      <c r="B36" s="14">
        <v>2</v>
      </c>
      <c r="C36" s="14">
        <v>3</v>
      </c>
      <c r="D36" s="14">
        <v>2</v>
      </c>
      <c r="E36" s="14">
        <v>1</v>
      </c>
      <c r="F36" s="14">
        <v>3</v>
      </c>
      <c r="G36" s="14">
        <v>2</v>
      </c>
      <c r="H36" s="14"/>
      <c r="I36" s="14">
        <f t="shared" si="3"/>
        <v>5</v>
      </c>
      <c r="J36" s="14">
        <f t="shared" si="3"/>
        <v>5</v>
      </c>
      <c r="K36" s="14">
        <f>D36</f>
        <v>2</v>
      </c>
      <c r="L36" s="14">
        <f t="shared" si="0"/>
        <v>1</v>
      </c>
      <c r="M36" s="14" t="s">
        <v>80</v>
      </c>
      <c r="Q36" t="s">
        <v>82</v>
      </c>
    </row>
    <row r="37" spans="1:23">
      <c r="A37" s="14">
        <v>21</v>
      </c>
      <c r="B37" s="14">
        <v>3</v>
      </c>
      <c r="C37" s="14">
        <v>3</v>
      </c>
      <c r="D37" s="14">
        <v>3</v>
      </c>
      <c r="E37" s="14">
        <v>1</v>
      </c>
      <c r="F37" s="14">
        <v>3</v>
      </c>
      <c r="G37" s="14">
        <v>2</v>
      </c>
      <c r="H37" s="14"/>
      <c r="I37" s="14">
        <f t="shared" ref="I37:J54" si="4">B37+F37</f>
        <v>6</v>
      </c>
      <c r="J37" s="14">
        <f t="shared" si="4"/>
        <v>5</v>
      </c>
      <c r="K37" s="14">
        <f t="shared" ref="K37:L54" si="5">D37</f>
        <v>3</v>
      </c>
      <c r="L37" s="14">
        <f t="shared" si="0"/>
        <v>1</v>
      </c>
      <c r="M37" s="14" t="s">
        <v>83</v>
      </c>
      <c r="O37">
        <v>0</v>
      </c>
      <c r="Q37" t="s">
        <v>84</v>
      </c>
      <c r="R37" t="s">
        <v>21</v>
      </c>
      <c r="T37" s="3" t="s">
        <v>85</v>
      </c>
      <c r="U37" t="s">
        <v>21</v>
      </c>
    </row>
    <row r="38" spans="1:23">
      <c r="A38" s="9" t="s">
        <v>122</v>
      </c>
      <c r="B38" s="9">
        <v>3</v>
      </c>
      <c r="C38" s="9">
        <v>3</v>
      </c>
      <c r="D38" s="9">
        <v>2</v>
      </c>
      <c r="E38" s="9">
        <v>2</v>
      </c>
      <c r="F38" s="9">
        <v>3</v>
      </c>
      <c r="G38" s="9">
        <v>2</v>
      </c>
      <c r="H38" s="9"/>
      <c r="I38" s="9">
        <f t="shared" si="4"/>
        <v>6</v>
      </c>
      <c r="J38" s="9">
        <f t="shared" si="4"/>
        <v>5</v>
      </c>
      <c r="K38" s="9">
        <f t="shared" si="5"/>
        <v>2</v>
      </c>
      <c r="L38" s="9">
        <f t="shared" si="0"/>
        <v>2</v>
      </c>
      <c r="M38" s="9" t="s">
        <v>91</v>
      </c>
    </row>
    <row r="39" spans="1:2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 t="s">
        <v>92</v>
      </c>
      <c r="O39">
        <v>0</v>
      </c>
    </row>
    <row r="40" spans="1:23">
      <c r="A40" s="13" t="s">
        <v>121</v>
      </c>
      <c r="B40" s="13">
        <v>3</v>
      </c>
      <c r="C40" s="13">
        <v>3</v>
      </c>
      <c r="D40" s="13">
        <v>2</v>
      </c>
      <c r="E40" s="13">
        <v>3</v>
      </c>
      <c r="F40" s="13">
        <v>3</v>
      </c>
      <c r="G40" s="13">
        <v>2</v>
      </c>
      <c r="H40" s="13"/>
      <c r="I40" s="13">
        <f t="shared" si="4"/>
        <v>6</v>
      </c>
      <c r="J40" s="13">
        <f t="shared" si="4"/>
        <v>5</v>
      </c>
      <c r="K40" s="13">
        <f t="shared" si="5"/>
        <v>2</v>
      </c>
      <c r="L40" s="13">
        <f t="shared" si="0"/>
        <v>3</v>
      </c>
      <c r="M40" s="13" t="s">
        <v>95</v>
      </c>
    </row>
    <row r="41" spans="1:2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96</v>
      </c>
    </row>
    <row r="42" spans="1:23">
      <c r="A42" s="9">
        <v>24</v>
      </c>
      <c r="B42" s="9">
        <v>1</v>
      </c>
      <c r="C42" s="9">
        <v>4</v>
      </c>
      <c r="D42" s="9">
        <v>1</v>
      </c>
      <c r="E42" s="9"/>
      <c r="F42" s="9">
        <v>3</v>
      </c>
      <c r="G42" s="9">
        <v>2</v>
      </c>
      <c r="H42" s="9"/>
      <c r="I42" s="9">
        <f t="shared" si="4"/>
        <v>4</v>
      </c>
      <c r="J42" s="9">
        <f t="shared" si="4"/>
        <v>6</v>
      </c>
      <c r="K42" s="9">
        <f t="shared" si="5"/>
        <v>1</v>
      </c>
      <c r="L42" s="9">
        <f t="shared" si="0"/>
        <v>0</v>
      </c>
      <c r="M42" s="10" t="s">
        <v>101</v>
      </c>
      <c r="O42">
        <v>0</v>
      </c>
      <c r="Q42" t="s">
        <v>97</v>
      </c>
      <c r="R42" t="s">
        <v>98</v>
      </c>
      <c r="S42" t="s">
        <v>99</v>
      </c>
      <c r="T42" t="s">
        <v>100</v>
      </c>
    </row>
    <row r="43" spans="1:23">
      <c r="A43" s="14">
        <v>25</v>
      </c>
      <c r="B43" s="14">
        <v>2</v>
      </c>
      <c r="C43" s="14">
        <v>4</v>
      </c>
      <c r="D43" s="14">
        <v>3</v>
      </c>
      <c r="E43" s="14"/>
      <c r="F43" s="14">
        <v>3</v>
      </c>
      <c r="G43" s="14">
        <v>2</v>
      </c>
      <c r="H43" s="14"/>
      <c r="I43" s="14">
        <f t="shared" si="4"/>
        <v>5</v>
      </c>
      <c r="J43" s="14">
        <f t="shared" si="4"/>
        <v>6</v>
      </c>
      <c r="K43" s="14">
        <f t="shared" si="5"/>
        <v>3</v>
      </c>
      <c r="L43" s="14">
        <f t="shared" si="0"/>
        <v>0</v>
      </c>
      <c r="M43" s="14"/>
      <c r="N43" s="17" t="s">
        <v>146</v>
      </c>
      <c r="Q43" s="6" t="s">
        <v>102</v>
      </c>
      <c r="R43" t="s">
        <v>103</v>
      </c>
    </row>
    <row r="44" spans="1:23">
      <c r="A44" s="14" t="s">
        <v>120</v>
      </c>
      <c r="B44" s="14">
        <v>2</v>
      </c>
      <c r="C44" s="14">
        <v>4</v>
      </c>
      <c r="D44" s="14">
        <v>2</v>
      </c>
      <c r="E44" s="14">
        <v>2</v>
      </c>
      <c r="F44" s="14">
        <v>3</v>
      </c>
      <c r="G44" s="14">
        <v>2</v>
      </c>
      <c r="H44" s="14"/>
      <c r="I44" s="14">
        <f t="shared" si="4"/>
        <v>5</v>
      </c>
      <c r="J44" s="14">
        <f t="shared" si="4"/>
        <v>6</v>
      </c>
      <c r="K44" s="14">
        <f t="shared" si="5"/>
        <v>2</v>
      </c>
      <c r="L44" s="14">
        <f t="shared" si="0"/>
        <v>2</v>
      </c>
      <c r="M44" s="10"/>
      <c r="N44" s="17" t="s">
        <v>146</v>
      </c>
      <c r="Q44" s="5" t="s">
        <v>106</v>
      </c>
      <c r="R44" t="s">
        <v>107</v>
      </c>
      <c r="T44" t="s">
        <v>52</v>
      </c>
    </row>
    <row r="45" spans="1:23">
      <c r="A45" s="9">
        <v>27</v>
      </c>
      <c r="B45" s="9">
        <v>4</v>
      </c>
      <c r="C45" s="9">
        <v>4</v>
      </c>
      <c r="D45" s="9">
        <v>4</v>
      </c>
      <c r="E45" s="9">
        <v>1</v>
      </c>
      <c r="F45" s="9">
        <v>3</v>
      </c>
      <c r="G45" s="9">
        <v>2</v>
      </c>
      <c r="H45" s="9"/>
      <c r="I45" s="9">
        <f t="shared" si="4"/>
        <v>7</v>
      </c>
      <c r="J45" s="9">
        <f t="shared" si="4"/>
        <v>6</v>
      </c>
      <c r="K45" s="9">
        <f t="shared" si="5"/>
        <v>4</v>
      </c>
      <c r="L45" s="9">
        <f t="shared" si="0"/>
        <v>1</v>
      </c>
      <c r="M45" s="9" t="s">
        <v>110</v>
      </c>
      <c r="O45">
        <v>0</v>
      </c>
      <c r="Q45" t="s">
        <v>108</v>
      </c>
      <c r="S45" t="s">
        <v>86</v>
      </c>
      <c r="U45" t="s">
        <v>109</v>
      </c>
      <c r="W45" t="s">
        <v>86</v>
      </c>
    </row>
    <row r="46" spans="1:23">
      <c r="A46" s="10"/>
      <c r="B46" s="10"/>
      <c r="C46" s="10"/>
      <c r="D46" s="10"/>
      <c r="E46" s="10"/>
      <c r="F46" s="10"/>
      <c r="G46" s="10"/>
      <c r="H46" s="10"/>
      <c r="I46" s="10">
        <f t="shared" si="4"/>
        <v>0</v>
      </c>
      <c r="J46" s="10">
        <f t="shared" si="4"/>
        <v>0</v>
      </c>
      <c r="K46" s="10">
        <f t="shared" si="5"/>
        <v>0</v>
      </c>
      <c r="L46" s="10">
        <f t="shared" si="0"/>
        <v>0</v>
      </c>
      <c r="M46" s="10" t="s">
        <v>111</v>
      </c>
      <c r="O46">
        <v>0</v>
      </c>
    </row>
    <row r="47" spans="1:23">
      <c r="A47" s="9" t="s">
        <v>119</v>
      </c>
      <c r="B47" s="9">
        <v>4</v>
      </c>
      <c r="C47" s="9">
        <v>4</v>
      </c>
      <c r="D47" s="9">
        <v>3</v>
      </c>
      <c r="E47" s="9">
        <v>2</v>
      </c>
      <c r="F47" s="9">
        <v>3</v>
      </c>
      <c r="G47" s="9">
        <v>2</v>
      </c>
      <c r="H47" s="9"/>
      <c r="I47" s="9">
        <f t="shared" si="4"/>
        <v>7</v>
      </c>
      <c r="J47" s="9">
        <f t="shared" si="4"/>
        <v>6</v>
      </c>
      <c r="K47" s="9">
        <f t="shared" si="5"/>
        <v>3</v>
      </c>
      <c r="L47" s="9">
        <f t="shared" si="5"/>
        <v>2</v>
      </c>
      <c r="M47" s="9" t="s">
        <v>116</v>
      </c>
      <c r="O47">
        <v>0</v>
      </c>
    </row>
    <row r="48" spans="1:2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 t="s">
        <v>139</v>
      </c>
    </row>
    <row r="49" spans="1:1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 t="s">
        <v>140</v>
      </c>
    </row>
    <row r="50" spans="1:1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 t="s">
        <v>141</v>
      </c>
    </row>
    <row r="51" spans="1:1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 t="s">
        <v>142</v>
      </c>
    </row>
    <row r="52" spans="1:18">
      <c r="A52" s="13">
        <v>29</v>
      </c>
      <c r="B52" s="13">
        <v>3</v>
      </c>
      <c r="C52" s="13">
        <v>4</v>
      </c>
      <c r="D52" s="13">
        <v>3</v>
      </c>
      <c r="E52" s="13">
        <v>2</v>
      </c>
      <c r="F52" s="13">
        <v>3</v>
      </c>
      <c r="G52" s="13">
        <v>2</v>
      </c>
      <c r="H52" s="13"/>
      <c r="I52" s="13">
        <f t="shared" si="4"/>
        <v>6</v>
      </c>
      <c r="J52" s="13">
        <f t="shared" si="4"/>
        <v>6</v>
      </c>
      <c r="K52" s="13">
        <f t="shared" si="5"/>
        <v>3</v>
      </c>
      <c r="L52" s="13">
        <f t="shared" si="5"/>
        <v>2</v>
      </c>
      <c r="M52" s="13" t="s">
        <v>143</v>
      </c>
      <c r="O52">
        <v>0</v>
      </c>
      <c r="R52" t="s">
        <v>145</v>
      </c>
    </row>
    <row r="53" spans="1:1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144</v>
      </c>
      <c r="O53">
        <v>0</v>
      </c>
      <c r="R53" t="s">
        <v>145</v>
      </c>
    </row>
    <row r="54" spans="1:18">
      <c r="A54" s="10">
        <v>30</v>
      </c>
      <c r="B54" s="10">
        <v>3</v>
      </c>
      <c r="C54" s="10">
        <v>3</v>
      </c>
      <c r="D54" s="10">
        <v>4</v>
      </c>
      <c r="E54" s="10"/>
      <c r="F54" s="10">
        <v>3</v>
      </c>
      <c r="G54" s="10">
        <v>2</v>
      </c>
      <c r="H54" s="10"/>
      <c r="I54" s="10">
        <f t="shared" si="4"/>
        <v>6</v>
      </c>
      <c r="J54" s="10">
        <f t="shared" si="4"/>
        <v>5</v>
      </c>
      <c r="K54" s="10">
        <f t="shared" si="5"/>
        <v>4</v>
      </c>
      <c r="L54" s="10">
        <f t="shared" si="5"/>
        <v>0</v>
      </c>
      <c r="M54" s="10" t="s">
        <v>118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anno</vt:lpstr>
      <vt:lpstr>quant</vt:lpstr>
      <vt:lpstr>データベース優先</vt:lpstr>
      <vt:lpstr>Supple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HIMORI Koichi</dc:creator>
  <cp:lastModifiedBy>HIMORI Koichi</cp:lastModifiedBy>
  <cp:lastPrinted>2025-12-24T23:55:56Z</cp:lastPrinted>
  <dcterms:created xsi:type="dcterms:W3CDTF">2025-12-23T22:33:27Z</dcterms:created>
  <dcterms:modified xsi:type="dcterms:W3CDTF">2026-02-15T00:37:37Z</dcterms:modified>
</cp:coreProperties>
</file>