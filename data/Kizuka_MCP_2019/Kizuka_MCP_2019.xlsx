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im/Downloads/"/>
    </mc:Choice>
  </mc:AlternateContent>
  <xr:revisionPtr revIDLastSave="0" documentId="13_ncr:1_{500B4D20-B980-5A4A-8107-D5E52C2D4DAF}" xr6:coauthVersionLast="47" xr6:coauthVersionMax="47" xr10:uidLastSave="{00000000-0000-0000-0000-000000000000}"/>
  <bookViews>
    <workbookView xWindow="12260" yWindow="7500" windowWidth="35160" windowHeight="31740" xr2:uid="{E956526B-6D6B-BE4E-86F5-5F42EE81748B}"/>
  </bookViews>
  <sheets>
    <sheet name="anno" sheetId="3" r:id="rId1"/>
    <sheet name="quant" sheetId="5" r:id="rId2"/>
    <sheet name="データベース優先" sheetId="1" r:id="rId3"/>
    <sheet name="Suppl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J33" i="3"/>
  <c r="I33" i="3"/>
  <c r="H33" i="3"/>
  <c r="K53" i="3"/>
  <c r="J53" i="3"/>
  <c r="I53" i="3"/>
  <c r="H53" i="3"/>
  <c r="K51" i="3"/>
  <c r="J51" i="3"/>
  <c r="I51" i="3"/>
  <c r="H51" i="3"/>
  <c r="K50" i="3"/>
  <c r="J50" i="3"/>
  <c r="I50" i="3"/>
  <c r="H50" i="3"/>
  <c r="K49" i="3"/>
  <c r="J49" i="3"/>
  <c r="I49" i="3"/>
  <c r="H49" i="3"/>
  <c r="K48" i="3"/>
  <c r="J48" i="3"/>
  <c r="I48" i="3"/>
  <c r="H48" i="3"/>
  <c r="K46" i="3"/>
  <c r="J46" i="3"/>
  <c r="I46" i="3"/>
  <c r="H46" i="3"/>
  <c r="K41" i="3"/>
  <c r="J41" i="3"/>
  <c r="I41" i="3"/>
  <c r="H41" i="3"/>
  <c r="K39" i="3"/>
  <c r="J39" i="3"/>
  <c r="I39" i="3"/>
  <c r="H39" i="3"/>
  <c r="K35" i="3"/>
  <c r="J35" i="3"/>
  <c r="I35" i="3"/>
  <c r="H35" i="3"/>
  <c r="K32" i="3"/>
  <c r="J32" i="3"/>
  <c r="I32" i="3"/>
  <c r="H32" i="3"/>
  <c r="K30" i="3"/>
  <c r="J30" i="3"/>
  <c r="I30" i="3"/>
  <c r="H30" i="3"/>
  <c r="K29" i="3"/>
  <c r="J29" i="3"/>
  <c r="I29" i="3"/>
  <c r="H29" i="3"/>
  <c r="K23" i="3"/>
  <c r="J23" i="3"/>
  <c r="I23" i="3"/>
  <c r="H23" i="3"/>
  <c r="K20" i="3"/>
  <c r="J20" i="3"/>
  <c r="I20" i="3"/>
  <c r="H20" i="3"/>
  <c r="K18" i="3"/>
  <c r="J18" i="3"/>
  <c r="I18" i="3"/>
  <c r="H18" i="3"/>
  <c r="K13" i="3"/>
  <c r="J13" i="3"/>
  <c r="I13" i="3"/>
  <c r="H13" i="3"/>
  <c r="K10" i="3"/>
  <c r="J10" i="3"/>
  <c r="I10" i="3"/>
  <c r="H10" i="3"/>
  <c r="K8" i="3"/>
  <c r="J8" i="3"/>
  <c r="I8" i="3"/>
  <c r="H8" i="3"/>
  <c r="K7" i="3"/>
  <c r="J7" i="3"/>
  <c r="I7" i="3"/>
  <c r="H7" i="3"/>
  <c r="K6" i="3"/>
  <c r="J6" i="3"/>
  <c r="I6" i="3"/>
  <c r="H6" i="3"/>
  <c r="K4" i="3"/>
  <c r="J4" i="3"/>
  <c r="I4" i="3"/>
  <c r="H4" i="3"/>
  <c r="K3" i="3"/>
  <c r="J3" i="3"/>
  <c r="I3" i="3"/>
  <c r="H3" i="3"/>
  <c r="K54" i="3"/>
  <c r="J54" i="3"/>
  <c r="I54" i="3"/>
  <c r="H54" i="3"/>
  <c r="K52" i="3"/>
  <c r="J52" i="3"/>
  <c r="I52" i="3"/>
  <c r="H52" i="3"/>
  <c r="K47" i="3"/>
  <c r="J47" i="3"/>
  <c r="I47" i="3"/>
  <c r="H47" i="3"/>
  <c r="K45" i="3"/>
  <c r="J45" i="3"/>
  <c r="I45" i="3"/>
  <c r="H45" i="3"/>
  <c r="K44" i="3"/>
  <c r="J44" i="3"/>
  <c r="I44" i="3"/>
  <c r="H44" i="3"/>
  <c r="K43" i="3"/>
  <c r="J43" i="3"/>
  <c r="I43" i="3"/>
  <c r="H43" i="3"/>
  <c r="K42" i="3"/>
  <c r="J42" i="3"/>
  <c r="I42" i="3"/>
  <c r="H42" i="3"/>
  <c r="K40" i="3"/>
  <c r="J40" i="3"/>
  <c r="I40" i="3"/>
  <c r="H40" i="3"/>
  <c r="K38" i="3"/>
  <c r="J38" i="3"/>
  <c r="I38" i="3"/>
  <c r="H38" i="3"/>
  <c r="K37" i="3"/>
  <c r="J37" i="3"/>
  <c r="I37" i="3"/>
  <c r="H37" i="3"/>
  <c r="K36" i="3"/>
  <c r="J36" i="3"/>
  <c r="I36" i="3"/>
  <c r="H36" i="3"/>
  <c r="K34" i="3"/>
  <c r="J34" i="3"/>
  <c r="I34" i="3"/>
  <c r="H34" i="3"/>
  <c r="K31" i="3"/>
  <c r="J31" i="3"/>
  <c r="I31" i="3"/>
  <c r="H31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2" i="3"/>
  <c r="J22" i="3"/>
  <c r="I22" i="3"/>
  <c r="H22" i="3"/>
  <c r="K21" i="3"/>
  <c r="J21" i="3"/>
  <c r="I21" i="3"/>
  <c r="H21" i="3"/>
  <c r="K19" i="3"/>
  <c r="J19" i="3"/>
  <c r="I19" i="3"/>
  <c r="H19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2" i="3"/>
  <c r="J12" i="3"/>
  <c r="I12" i="3"/>
  <c r="H12" i="3"/>
  <c r="K11" i="3"/>
  <c r="J11" i="3"/>
  <c r="I11" i="3"/>
  <c r="H11" i="3"/>
  <c r="K9" i="3"/>
  <c r="J9" i="3"/>
  <c r="I9" i="3"/>
  <c r="H9" i="3"/>
  <c r="K5" i="3"/>
  <c r="J5" i="3"/>
  <c r="I5" i="3"/>
  <c r="H5" i="3"/>
  <c r="K2" i="3"/>
  <c r="J2" i="3"/>
  <c r="I2" i="3"/>
  <c r="H2" i="3"/>
  <c r="L54" i="2"/>
  <c r="K54" i="2"/>
  <c r="J54" i="2"/>
  <c r="I54" i="2"/>
  <c r="L52" i="2"/>
  <c r="K52" i="2"/>
  <c r="J52" i="2"/>
  <c r="I52" i="2"/>
  <c r="L47" i="2"/>
  <c r="K47" i="2"/>
  <c r="J47" i="2"/>
  <c r="I47" i="2"/>
  <c r="L46" i="2"/>
  <c r="K46" i="2"/>
  <c r="J46" i="2"/>
  <c r="I46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40" i="2"/>
  <c r="K40" i="2"/>
  <c r="J40" i="2"/>
  <c r="I40" i="2"/>
  <c r="L38" i="2"/>
  <c r="K38" i="2"/>
  <c r="J38" i="2"/>
  <c r="I38" i="2"/>
  <c r="L37" i="2"/>
  <c r="K37" i="2"/>
  <c r="J37" i="2"/>
  <c r="I37" i="2"/>
  <c r="L36" i="2"/>
  <c r="K36" i="2"/>
  <c r="J36" i="2"/>
  <c r="I36" i="2"/>
  <c r="L35" i="2"/>
  <c r="K35" i="2"/>
  <c r="J35" i="2"/>
  <c r="I35" i="2"/>
  <c r="L34" i="2"/>
  <c r="K34" i="2"/>
  <c r="J34" i="2"/>
  <c r="I34" i="2"/>
  <c r="L32" i="2"/>
  <c r="K32" i="2"/>
  <c r="J32" i="2"/>
  <c r="I32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3" i="2"/>
  <c r="K23" i="2"/>
  <c r="J23" i="2"/>
  <c r="I23" i="2"/>
  <c r="L22" i="2"/>
  <c r="K22" i="2"/>
  <c r="J22" i="2"/>
  <c r="I22" i="2"/>
  <c r="L20" i="2"/>
  <c r="K20" i="2"/>
  <c r="J20" i="2"/>
  <c r="I20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2" i="2"/>
  <c r="K12" i="2"/>
  <c r="J12" i="2"/>
  <c r="I12" i="2"/>
  <c r="L11" i="2"/>
  <c r="K11" i="2"/>
  <c r="J11" i="2"/>
  <c r="I11" i="2"/>
  <c r="L9" i="2"/>
  <c r="K9" i="2"/>
  <c r="J9" i="2"/>
  <c r="I9" i="2"/>
  <c r="L5" i="2"/>
  <c r="K5" i="2"/>
  <c r="J5" i="2"/>
  <c r="I5" i="2"/>
  <c r="L2" i="2"/>
  <c r="K2" i="2"/>
  <c r="J2" i="2"/>
  <c r="I2" i="2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L5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K5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J5" i="1"/>
  <c r="J9" i="1"/>
  <c r="J11" i="1"/>
  <c r="J12" i="1"/>
  <c r="J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5" i="1"/>
  <c r="I9" i="1"/>
  <c r="I11" i="1"/>
  <c r="I12" i="1"/>
  <c r="I2" i="1"/>
</calcChain>
</file>

<file path=xl/sharedStrings.xml><?xml version="1.0" encoding="utf-8"?>
<sst xmlns="http://schemas.openxmlformats.org/spreadsheetml/2006/main" count="502" uniqueCount="256">
  <si>
    <t>Hex</t>
    <phoneticPr fontId="1"/>
  </si>
  <si>
    <t>Man</t>
    <phoneticPr fontId="1"/>
  </si>
  <si>
    <t>GlcNAc</t>
    <phoneticPr fontId="1"/>
  </si>
  <si>
    <t>G83161QT</t>
    <phoneticPr fontId="1"/>
  </si>
  <si>
    <t xml:space="preserve">	G68668TB</t>
    <phoneticPr fontId="1"/>
  </si>
  <si>
    <t>G63337SS</t>
    <phoneticPr fontId="1"/>
  </si>
  <si>
    <t xml:space="preserve">	G80966KZ</t>
    <phoneticPr fontId="1"/>
  </si>
  <si>
    <t>G34499SX</t>
    <phoneticPr fontId="1"/>
  </si>
  <si>
    <t xml:space="preserve">	G40702WU</t>
    <phoneticPr fontId="1"/>
  </si>
  <si>
    <t>G70358QM</t>
    <phoneticPr fontId="1"/>
  </si>
  <si>
    <t>G60230HH</t>
    <phoneticPr fontId="1"/>
  </si>
  <si>
    <t>HexNAc</t>
    <phoneticPr fontId="1"/>
  </si>
  <si>
    <t>Deoxyhexose</t>
    <phoneticPr fontId="1"/>
  </si>
  <si>
    <t>N-Acetyl-Hexosamine</t>
    <phoneticPr fontId="1"/>
  </si>
  <si>
    <t>Hexose</t>
    <phoneticPr fontId="1"/>
  </si>
  <si>
    <t>Deoxy-Hexose</t>
    <phoneticPr fontId="1"/>
  </si>
  <si>
    <t>G47809KW</t>
    <phoneticPr fontId="1"/>
  </si>
  <si>
    <t>G44572NU</t>
    <phoneticPr fontId="1"/>
  </si>
  <si>
    <t>G49401CB</t>
    <phoneticPr fontId="1"/>
  </si>
  <si>
    <t>G82680EC</t>
    <phoneticPr fontId="1"/>
  </si>
  <si>
    <t>G80858MF</t>
    <phoneticPr fontId="1"/>
  </si>
  <si>
    <t>Figにない</t>
    <phoneticPr fontId="1"/>
  </si>
  <si>
    <t>G20966TZ</t>
    <phoneticPr fontId="1"/>
  </si>
  <si>
    <t>G36191CD</t>
    <phoneticPr fontId="1"/>
  </si>
  <si>
    <t>G43664YB</t>
    <phoneticPr fontId="1"/>
  </si>
  <si>
    <t xml:space="preserve">	G13151XE</t>
    <phoneticPr fontId="1"/>
  </si>
  <si>
    <t>G27293OK</t>
    <phoneticPr fontId="1"/>
  </si>
  <si>
    <t>9a</t>
  </si>
  <si>
    <t>9a</t>
    <phoneticPr fontId="1"/>
  </si>
  <si>
    <t>9b</t>
  </si>
  <si>
    <t>9b</t>
    <phoneticPr fontId="1"/>
  </si>
  <si>
    <t>G90017UO</t>
    <phoneticPr fontId="1"/>
  </si>
  <si>
    <t>10a</t>
  </si>
  <si>
    <t xml:space="preserve">	G78059CC</t>
    <phoneticPr fontId="1"/>
  </si>
  <si>
    <t>G52428MJ</t>
    <phoneticPr fontId="1"/>
  </si>
  <si>
    <t>G87073UP</t>
    <phoneticPr fontId="1"/>
  </si>
  <si>
    <t>G99969SS</t>
    <phoneticPr fontId="1"/>
  </si>
  <si>
    <t xml:space="preserve">	G14050KB</t>
    <phoneticPr fontId="1"/>
  </si>
  <si>
    <t>Figにあるbisect登録なし</t>
    <rPh sb="12" eb="14">
      <t>トウロク</t>
    </rPh>
    <phoneticPr fontId="1"/>
  </si>
  <si>
    <t>10b</t>
  </si>
  <si>
    <t>G52880ZN</t>
    <phoneticPr fontId="1"/>
  </si>
  <si>
    <t>G85709JZ</t>
    <phoneticPr fontId="1"/>
  </si>
  <si>
    <t>G06830JN</t>
    <phoneticPr fontId="1"/>
  </si>
  <si>
    <t>Figにある登録なし</t>
    <rPh sb="6" eb="8">
      <t>トウロク</t>
    </rPh>
    <phoneticPr fontId="1"/>
  </si>
  <si>
    <t>NeuAc</t>
    <phoneticPr fontId="1"/>
  </si>
  <si>
    <t>N-Acetyl-Neuraminic acid</t>
    <phoneticPr fontId="1"/>
  </si>
  <si>
    <t>G90348RI</t>
    <phoneticPr fontId="1"/>
  </si>
  <si>
    <t xml:space="preserve">	G97823BP</t>
    <phoneticPr fontId="1"/>
  </si>
  <si>
    <t>FigにないcoreFucなしG43402RG今回は除外</t>
    <phoneticPr fontId="1"/>
  </si>
  <si>
    <t>G47253OG</t>
    <phoneticPr fontId="1"/>
  </si>
  <si>
    <t>14a</t>
  </si>
  <si>
    <t>G94019IV</t>
    <phoneticPr fontId="1"/>
  </si>
  <si>
    <t>publicationなし</t>
    <phoneticPr fontId="1"/>
  </si>
  <si>
    <t>14b</t>
  </si>
  <si>
    <t>構造登録なし</t>
    <rPh sb="0" eb="4">
      <t>コウゾウ</t>
    </rPh>
    <phoneticPr fontId="1"/>
  </si>
  <si>
    <t xml:space="preserve">	G30159WR</t>
    <phoneticPr fontId="1"/>
  </si>
  <si>
    <t>G61207RZ</t>
    <phoneticPr fontId="1"/>
  </si>
  <si>
    <t>Figにない非bisect</t>
    <phoneticPr fontId="1"/>
  </si>
  <si>
    <t>17a</t>
  </si>
  <si>
    <t>17b</t>
  </si>
  <si>
    <t>17c</t>
  </si>
  <si>
    <t>G85767HW</t>
    <phoneticPr fontId="1"/>
  </si>
  <si>
    <t>Figにない登録bisect</t>
    <rPh sb="6" eb="8">
      <t>トウロク</t>
    </rPh>
    <phoneticPr fontId="1"/>
  </si>
  <si>
    <t>G92617LF</t>
    <phoneticPr fontId="1"/>
  </si>
  <si>
    <t xml:space="preserve">	G88417ED</t>
    <phoneticPr fontId="1"/>
  </si>
  <si>
    <t>FigにないGalNAc</t>
    <phoneticPr fontId="1"/>
  </si>
  <si>
    <t>18a</t>
  </si>
  <si>
    <t>18a</t>
    <phoneticPr fontId="1"/>
  </si>
  <si>
    <t>18b</t>
  </si>
  <si>
    <t>18b</t>
    <phoneticPr fontId="1"/>
  </si>
  <si>
    <t>G82753OZ</t>
    <phoneticPr fontId="1"/>
  </si>
  <si>
    <t>G36581MF</t>
    <phoneticPr fontId="1"/>
  </si>
  <si>
    <t>FigにあるGalFuc登録なし</t>
    <rPh sb="12" eb="14">
      <t>トウロク</t>
    </rPh>
    <phoneticPr fontId="1"/>
  </si>
  <si>
    <t>19a</t>
  </si>
  <si>
    <t>19a</t>
    <phoneticPr fontId="1"/>
  </si>
  <si>
    <t>19b</t>
  </si>
  <si>
    <t>G07041CT</t>
    <phoneticPr fontId="1"/>
  </si>
  <si>
    <t xml:space="preserve">G70945OS	</t>
    <phoneticPr fontId="1"/>
  </si>
  <si>
    <t>Figにない2GalFuc</t>
    <phoneticPr fontId="1"/>
  </si>
  <si>
    <t>G96489SM</t>
    <phoneticPr fontId="1"/>
  </si>
  <si>
    <t xml:space="preserve">	G18119HR</t>
    <phoneticPr fontId="1"/>
  </si>
  <si>
    <t xml:space="preserve">G86298IX	</t>
    <phoneticPr fontId="1"/>
  </si>
  <si>
    <t>FigにないGalFucGalNAc</t>
    <phoneticPr fontId="1"/>
  </si>
  <si>
    <t xml:space="preserve">	G11696PX</t>
    <phoneticPr fontId="1"/>
  </si>
  <si>
    <t>G42504VW</t>
    <phoneticPr fontId="1"/>
  </si>
  <si>
    <t>G65760UO</t>
    <phoneticPr fontId="1"/>
  </si>
  <si>
    <t>publicatinなし</t>
    <phoneticPr fontId="1"/>
  </si>
  <si>
    <t>22a</t>
  </si>
  <si>
    <t>22b</t>
  </si>
  <si>
    <t>22c</t>
  </si>
  <si>
    <t>22d</t>
  </si>
  <si>
    <t xml:space="preserve">	G60660BN</t>
    <phoneticPr fontId="1"/>
  </si>
  <si>
    <t>G97576UM</t>
    <phoneticPr fontId="1"/>
  </si>
  <si>
    <t>23a</t>
  </si>
  <si>
    <t>23b</t>
  </si>
  <si>
    <t>G67895PX</t>
    <phoneticPr fontId="1"/>
  </si>
  <si>
    <t>G38899PV</t>
    <phoneticPr fontId="1"/>
  </si>
  <si>
    <t>G88948CY</t>
    <phoneticPr fontId="1"/>
  </si>
  <si>
    <t>FigにないGlcNAc</t>
    <phoneticPr fontId="1"/>
  </si>
  <si>
    <t xml:space="preserve">G83945MQ	</t>
    <phoneticPr fontId="1"/>
  </si>
  <si>
    <t>Figにないbisect, GlcNAc</t>
    <phoneticPr fontId="1"/>
  </si>
  <si>
    <t xml:space="preserve">	G71451NN</t>
    <phoneticPr fontId="1"/>
  </si>
  <si>
    <t>G95499ZQ</t>
    <phoneticPr fontId="1"/>
  </si>
  <si>
    <t>Figにないbisect</t>
    <phoneticPr fontId="1"/>
  </si>
  <si>
    <t>26a</t>
  </si>
  <si>
    <t>26b</t>
  </si>
  <si>
    <t>G66315HA</t>
    <phoneticPr fontId="1"/>
  </si>
  <si>
    <t>非曖昧構造はこれだけ</t>
    <rPh sb="0" eb="3">
      <t>ヒアイ</t>
    </rPh>
    <rPh sb="3" eb="5">
      <t>コウゾウ</t>
    </rPh>
    <phoneticPr fontId="1"/>
  </si>
  <si>
    <t>G13688QP</t>
    <phoneticPr fontId="1"/>
  </si>
  <si>
    <t xml:space="preserve">	G07817HH	</t>
    <phoneticPr fontId="1"/>
  </si>
  <si>
    <t>G26713RV</t>
    <phoneticPr fontId="1"/>
  </si>
  <si>
    <t xml:space="preserve">G62018FE	</t>
    <phoneticPr fontId="1"/>
  </si>
  <si>
    <t>28a</t>
  </si>
  <si>
    <t>28b</t>
  </si>
  <si>
    <t>28c</t>
  </si>
  <si>
    <t>28d</t>
  </si>
  <si>
    <t>G68098GR</t>
    <phoneticPr fontId="1"/>
  </si>
  <si>
    <t>なし</t>
    <phoneticPr fontId="1"/>
  </si>
  <si>
    <t>G35139NO</t>
    <phoneticPr fontId="1"/>
  </si>
  <si>
    <t>28a-d</t>
    <phoneticPr fontId="1"/>
  </si>
  <si>
    <t>26ab</t>
    <phoneticPr fontId="1"/>
  </si>
  <si>
    <t>23ab</t>
    <phoneticPr fontId="1"/>
  </si>
  <si>
    <t>22a-d</t>
    <phoneticPr fontId="1"/>
  </si>
  <si>
    <t>19bc</t>
    <phoneticPr fontId="1"/>
  </si>
  <si>
    <t>17a-c</t>
    <phoneticPr fontId="1"/>
  </si>
  <si>
    <t>14ab</t>
    <phoneticPr fontId="1"/>
  </si>
  <si>
    <t>12a-c</t>
    <phoneticPr fontId="1"/>
  </si>
  <si>
    <t>10a-c</t>
    <phoneticPr fontId="1"/>
  </si>
  <si>
    <t>10d</t>
  </si>
  <si>
    <t>10d</t>
    <phoneticPr fontId="1"/>
  </si>
  <si>
    <t>2ab</t>
    <phoneticPr fontId="1"/>
  </si>
  <si>
    <t>G81980VO</t>
    <phoneticPr fontId="1"/>
  </si>
  <si>
    <t xml:space="preserve">	G04414GO</t>
    <phoneticPr fontId="1"/>
  </si>
  <si>
    <t>Publication</t>
    <phoneticPr fontId="1"/>
  </si>
  <si>
    <t>Figにある候補なし</t>
    <rPh sb="6" eb="8">
      <t>コウホ</t>
    </rPh>
    <phoneticPr fontId="1"/>
  </si>
  <si>
    <t>G60929YB</t>
    <phoneticPr fontId="1"/>
  </si>
  <si>
    <t>Mouse Humanなし</t>
    <phoneticPr fontId="1"/>
  </si>
  <si>
    <t>G08161JQ</t>
    <phoneticPr fontId="1"/>
  </si>
  <si>
    <t xml:space="preserve">	G36521AS</t>
    <phoneticPr fontId="1"/>
  </si>
  <si>
    <t xml:space="preserve">	G19885CO</t>
    <phoneticPr fontId="1"/>
  </si>
  <si>
    <t xml:space="preserve">	G77978WQ</t>
    <phoneticPr fontId="1"/>
  </si>
  <si>
    <t xml:space="preserve">	G47635WM	</t>
    <phoneticPr fontId="1"/>
  </si>
  <si>
    <t xml:space="preserve">	G68759SP</t>
    <phoneticPr fontId="1"/>
  </si>
  <si>
    <t xml:space="preserve">	G11543SV</t>
    <phoneticPr fontId="1"/>
  </si>
  <si>
    <t>G84233SI</t>
    <phoneticPr fontId="1"/>
  </si>
  <si>
    <t>organism不明</t>
    <rPh sb="8" eb="10">
      <t>フメイ</t>
    </rPh>
    <phoneticPr fontId="1"/>
  </si>
  <si>
    <t>DBにない</t>
  </si>
  <si>
    <t>DBにない</t>
    <phoneticPr fontId="1"/>
  </si>
  <si>
    <t>Figに情報なし</t>
    <rPh sb="4" eb="6">
      <t>ジョウホウ</t>
    </rPh>
    <phoneticPr fontId="1"/>
  </si>
  <si>
    <t>No</t>
    <phoneticPr fontId="1"/>
  </si>
  <si>
    <t>GlyTouCanID</t>
    <phoneticPr fontId="1"/>
  </si>
  <si>
    <t>No.</t>
  </si>
  <si>
    <t>M+3H</t>
  </si>
  <si>
    <t>M+2H</t>
  </si>
  <si>
    <t>Structure</t>
  </si>
  <si>
    <t>2a</t>
  </si>
  <si>
    <t>2b</t>
  </si>
  <si>
    <t>M+H (calc)</t>
  </si>
  <si>
    <t>Δ mass</t>
  </si>
  <si>
    <t>mass range for EIC</t>
  </si>
  <si>
    <t>peak intensity (Mgat3+/+)</t>
  </si>
  <si>
    <t>peak intensity (Mgat3−/−)</t>
  </si>
  <si>
    <t>rel. abund % (Mgat3−/−)</t>
  </si>
  <si>
    <t>(Hex)3 + (Man)3 (GlcNAc)2</t>
  </si>
  <si>
    <t>849.86-849.88</t>
  </si>
  <si>
    <t>(Hex)4 + (Man)3 (GlcNAc)2</t>
  </si>
  <si>
    <t>930.88-930.91</t>
  </si>
  <si>
    <t>(Hex)5 + (Man)3 (GlcNAc)2</t>
  </si>
  <si>
    <t>1011.91-1011.93</t>
  </si>
  <si>
    <t>(Hex)6 + (Man)3 (GlcNAc)2</t>
  </si>
  <si>
    <t>1092.94-1092.96</t>
  </si>
  <si>
    <t>(Hex)2 (HexNAc)1 (Deoxyhexose)2 + (Man)3 (GlcNAc)2</t>
  </si>
  <si>
    <t>1016.43-1016.45</t>
  </si>
  <si>
    <t>(Hex)3 (HexNAc)1 (Deoxyhexose)2 + (Man)3 (GlcNAc)2</t>
  </si>
  <si>
    <t>1097.45-1097.48</t>
  </si>
  <si>
    <t>(HexNAc)2 (Deoxyhexose)1 + (Man)3 (GlcNAc)2</t>
  </si>
  <si>
    <t>882.88-882.91</t>
  </si>
  <si>
    <t>(Hex)2 (HexNAc)2 + (Man)3 (GlcNAc)2</t>
  </si>
  <si>
    <t>971.91-971.93</t>
  </si>
  <si>
    <t>(Hex)1 (HexNAc)2 (Deoxyhexose)2 + (Man)3 (GlcNAc)2</t>
  </si>
  <si>
    <t>1036.94-1036.97</t>
  </si>
  <si>
    <t>(Hex)2 (HexNAc)2 (Deoxyhexose)1 + (Man)3 (GlcNAc)2</t>
  </si>
  <si>
    <t>1044.94-1044.97</t>
  </si>
  <si>
    <t>10c</t>
  </si>
  <si>
    <t>(Hex)2 (HexNAc)2 (Deoxyhexose)3 + (Man)3 (GlcNAc)2</t>
  </si>
  <si>
    <t>1191.00-1191.02</t>
  </si>
  <si>
    <t>12a</t>
  </si>
  <si>
    <t>(Hex)2 (HexNAc)2 (Deoxyhexose)2 (NeuAc)1 + (Man)3 (GlcNAc)2</t>
  </si>
  <si>
    <t>842.67-842.70</t>
  </si>
  <si>
    <t>12b</t>
  </si>
  <si>
    <t>12c</t>
  </si>
  <si>
    <t>(Hex)2 (HexNAc)2 (Deoxyhexose)2 (NeuAc)2 + (Man)3 (GlcNAc)2</t>
  </si>
  <si>
    <t>939.71-939.73</t>
  </si>
  <si>
    <t>(Hex)2 (HexNAc)2 (Deoxyhexose)1 (NeuAc)3 + (Man)3 (GlcNAc)2</t>
  </si>
  <si>
    <t>988.05-988.08</t>
  </si>
  <si>
    <t>(Hex)2 (HexNAc)2 (Deoxyhexose)1 (NeuAc)4 + (Man)3 (GlcNAc)2</t>
  </si>
  <si>
    <t>1085.09-1085.11</t>
  </si>
  <si>
    <t>(HexNAc)3 (Deoxyhexose)1 + (Man)3 (GlcNAc)2</t>
  </si>
  <si>
    <t>984.42-984.45</t>
  </si>
  <si>
    <t>(Hex)1 (HexNAc)3 (Deoxyhexose)1 + (Man)3 (GlcNAc)2</t>
  </si>
  <si>
    <t>1065.45-1065.48</t>
  </si>
  <si>
    <t>(Hex)1 (HexNAc)3 (Deoxyhexose)2 + (Man)3 (GlcNAc)2</t>
  </si>
  <si>
    <t>1138.48-1138.51</t>
  </si>
  <si>
    <t>(Hex)2 (HexNAc)3 (Deoxyhexose)3 + (Man)3 (GlcNAc)2</t>
  </si>
  <si>
    <t>862.02-862.05</t>
  </si>
  <si>
    <t>(Hex)2 (HexNAc)3 (Deoxyhexose)2 (NeuAc)1 + (Man)3 (GlcNAc)2</t>
  </si>
  <si>
    <t>910.37-910.39</t>
  </si>
  <si>
    <t>(Hex)3 (HexNAc)3 (Deoxyhexose)3 (NeuAc)1 + (Man)3 (GlcNAc)2</t>
  </si>
  <si>
    <t>1013.07-1013.10</t>
  </si>
  <si>
    <t>(Hex)3 (HexNAc)3 (Deoxyhexose)2 (NeuAc)2 + (Man)3 (GlcNAc)2</t>
  </si>
  <si>
    <t>1061.42-1061.45</t>
  </si>
  <si>
    <t>(Hex)3 (HexNAc)3 (Deoxyhexose)2 (NeuAc)3 + (Man)3 (GlcNAc)2</t>
  </si>
  <si>
    <t>1158.45-1158.48</t>
  </si>
  <si>
    <t>(Hex)1 (HexNAc)4 (Deoxyhexose)1 + (Man)3 (GlcNAc)2</t>
  </si>
  <si>
    <t>1167.00-1167.02</t>
  </si>
  <si>
    <t>(Hex)2 (HexNAc)4 (Deoxyhexose)3 + (Man)3 (GlcNAc)2</t>
  </si>
  <si>
    <t>929.72-929.74</t>
  </si>
  <si>
    <t>(Hex)2 (HexNAc)4 (Deoxyhexose)2 (NeuAc)2 + (Man)3 (GlcNAc)2</t>
  </si>
  <si>
    <t>1075.09-1075.12</t>
  </si>
  <si>
    <t>(Hex)4 (HexNAc)4 (Deoxyhexose)4 (NeuAc)1 + (Man)3 (GlcNAc)2</t>
  </si>
  <si>
    <t>1183.47-1183.50</t>
  </si>
  <si>
    <t>(Hex)4 (HexNAc)4 (Deoxyhexose)3 (NeuAc)2 + (Man)3 (GlcNAc)2</t>
  </si>
  <si>
    <t>1231.82-1231.84</t>
  </si>
  <si>
    <t>(Hex)3 (HexNAc)4 (Deoxyhexose)3 (NeuAc)2 + (Man)3 (GlcNAc)2</t>
  </si>
  <si>
    <t>1177.80-1177.82</t>
  </si>
  <si>
    <t>(Hex)3 (HexNAc)3 (Deoxyhexose)4 + (Man)3 (GlcNAc)2</t>
  </si>
  <si>
    <t>964.73-964.75</t>
  </si>
  <si>
    <t>control</t>
    <phoneticPr fontId="1"/>
  </si>
  <si>
    <t>increased</t>
    <phoneticPr fontId="1"/>
  </si>
  <si>
    <t>lost</t>
    <phoneticPr fontId="1"/>
  </si>
  <si>
    <t>unchanged</t>
    <phoneticPr fontId="1"/>
  </si>
  <si>
    <t>vsWT</t>
    <phoneticPr fontId="1"/>
  </si>
  <si>
    <t>G79588PU</t>
    <phoneticPr fontId="1"/>
  </si>
  <si>
    <t>G06795XH</t>
    <phoneticPr fontId="1"/>
  </si>
  <si>
    <t>manual</t>
    <phoneticPr fontId="1"/>
  </si>
  <si>
    <t>comment</t>
    <phoneticPr fontId="1"/>
  </si>
  <si>
    <t>G54925GQ</t>
  </si>
  <si>
    <t>G56973OG</t>
    <phoneticPr fontId="1"/>
  </si>
  <si>
    <t>G19885CO</t>
    <phoneticPr fontId="1"/>
  </si>
  <si>
    <t>G56670XL</t>
    <phoneticPr fontId="1"/>
  </si>
  <si>
    <t>G17955YT</t>
    <phoneticPr fontId="1"/>
  </si>
  <si>
    <t>G11543SV</t>
    <phoneticPr fontId="1"/>
  </si>
  <si>
    <t>G68668TB</t>
    <phoneticPr fontId="1"/>
  </si>
  <si>
    <t>G04414GO</t>
    <phoneticPr fontId="1"/>
  </si>
  <si>
    <t>G37135JQ</t>
    <phoneticPr fontId="1"/>
  </si>
  <si>
    <t>G40702WU</t>
    <phoneticPr fontId="1"/>
  </si>
  <si>
    <t>G97823BP</t>
    <phoneticPr fontId="1"/>
  </si>
  <si>
    <t>G30159WR</t>
    <phoneticPr fontId="1"/>
  </si>
  <si>
    <t>G36521AS</t>
    <phoneticPr fontId="1"/>
  </si>
  <si>
    <t>G18119HR</t>
    <phoneticPr fontId="1"/>
  </si>
  <si>
    <t>G11696PX</t>
    <phoneticPr fontId="1"/>
  </si>
  <si>
    <t>G60660BN</t>
    <phoneticPr fontId="1"/>
  </si>
  <si>
    <t>G71451NN</t>
    <phoneticPr fontId="1"/>
  </si>
  <si>
    <t>G02716ZR</t>
    <phoneticPr fontId="1"/>
  </si>
  <si>
    <t>rel. abund % (Mgat3+/+)</t>
    <phoneticPr fontId="1"/>
  </si>
  <si>
    <t>19c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</si>
</sst>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0" xfId="0" applyFill="1">
      <alignment vertical="center"/>
    </xf>
    <xf numFmtId="0" fontId="2" fillId="3" borderId="2" xfId="0" applyFont="1" applyFill="1" applyBorder="1">
      <alignment vertical="center"/>
    </xf>
    <xf numFmtId="0" fontId="4" fillId="0" borderId="0" xfId="0" applyFont="1">
      <alignment vertical="center"/>
    </xf>
    <xf numFmtId="0" fontId="0" fillId="2" borderId="4" xfId="0" applyFill="1" applyBorder="1">
      <alignment vertical="center"/>
    </xf>
    <xf numFmtId="0" fontId="0" fillId="4" borderId="4" xfId="0" applyFill="1" applyBorder="1">
      <alignment vertical="center"/>
    </xf>
    <xf numFmtId="0" fontId="0" fillId="0" borderId="4" xfId="0" applyBorder="1">
      <alignment vertical="center"/>
    </xf>
    <xf numFmtId="0" fontId="7" fillId="0" borderId="4" xfId="0" applyFont="1" applyBorder="1">
      <alignment vertical="center"/>
    </xf>
    <xf numFmtId="0" fontId="8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0" fillId="5" borderId="4" xfId="0" applyFill="1" applyBorder="1">
      <alignment vertical="center"/>
    </xf>
    <xf numFmtId="0" fontId="2" fillId="5" borderId="4" xfId="0" applyFont="1" applyFill="1" applyBorder="1">
      <alignment vertical="center"/>
    </xf>
    <xf numFmtId="0" fontId="6" fillId="0" borderId="4" xfId="0" applyFont="1" applyBorder="1">
      <alignment vertical="center"/>
    </xf>
    <xf numFmtId="0" fontId="5" fillId="0" borderId="4" xfId="0" applyFont="1" applyBorder="1">
      <alignment vertical="center"/>
    </xf>
    <xf numFmtId="176" fontId="5" fillId="0" borderId="4" xfId="0" applyNumberFormat="1" applyFont="1" applyBorder="1">
      <alignment vertical="center"/>
    </xf>
    <xf numFmtId="0" fontId="5" fillId="0" borderId="5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08BC-10F2-C541-B192-1C1E19FD4656}">
  <sheetPr>
    <pageSetUpPr fitToPage="1"/>
  </sheetPr>
  <dimension ref="A1:N54"/>
  <sheetViews>
    <sheetView tabSelected="1" workbookViewId="0">
      <selection activeCell="B66" sqref="B66"/>
    </sheetView>
  </sheetViews>
  <sheetFormatPr baseColWidth="10" defaultRowHeight="20"/>
  <cols>
    <col min="9" max="9" width="19.85546875" bestFit="1" customWidth="1"/>
    <col min="10" max="10" width="13.5703125" bestFit="1" customWidth="1"/>
    <col min="11" max="11" width="23" bestFit="1" customWidth="1"/>
    <col min="12" max="12" width="12.42578125" bestFit="1" customWidth="1"/>
  </cols>
  <sheetData>
    <row r="1" spans="1:14">
      <c r="A1" s="18" t="s">
        <v>149</v>
      </c>
      <c r="B1" s="18" t="s">
        <v>0</v>
      </c>
      <c r="C1" s="18" t="s">
        <v>11</v>
      </c>
      <c r="D1" s="18" t="s">
        <v>12</v>
      </c>
      <c r="E1" s="18" t="s">
        <v>44</v>
      </c>
      <c r="F1" s="18" t="s">
        <v>1</v>
      </c>
      <c r="G1" s="18" t="s">
        <v>2</v>
      </c>
      <c r="H1" s="19" t="s">
        <v>14</v>
      </c>
      <c r="I1" s="19" t="s">
        <v>13</v>
      </c>
      <c r="J1" s="19" t="s">
        <v>15</v>
      </c>
      <c r="K1" s="19" t="s">
        <v>45</v>
      </c>
      <c r="L1" s="18" t="s">
        <v>150</v>
      </c>
      <c r="M1" s="19" t="s">
        <v>231</v>
      </c>
      <c r="N1" s="19" t="s">
        <v>235</v>
      </c>
    </row>
    <row r="2" spans="1:14">
      <c r="A2" s="20">
        <v>1</v>
      </c>
      <c r="B2" s="20">
        <v>3</v>
      </c>
      <c r="C2" s="20">
        <v>0</v>
      </c>
      <c r="D2" s="20">
        <v>0</v>
      </c>
      <c r="E2" s="20">
        <v>0</v>
      </c>
      <c r="F2" s="20">
        <v>3</v>
      </c>
      <c r="G2" s="20">
        <v>2</v>
      </c>
      <c r="H2" s="20">
        <f t="shared" ref="H2:H36" si="0">B2+F2</f>
        <v>6</v>
      </c>
      <c r="I2" s="20">
        <f t="shared" ref="I2:I36" si="1">C2+G2</f>
        <v>2</v>
      </c>
      <c r="J2" s="20">
        <f t="shared" ref="J2:K4" si="2">D2</f>
        <v>0</v>
      </c>
      <c r="K2" s="20">
        <f t="shared" si="2"/>
        <v>0</v>
      </c>
      <c r="L2" s="20" t="s">
        <v>6</v>
      </c>
      <c r="M2" s="20" t="s">
        <v>227</v>
      </c>
      <c r="N2" s="20"/>
    </row>
    <row r="3" spans="1:14">
      <c r="A3" s="20">
        <v>1</v>
      </c>
      <c r="B3" s="20">
        <v>3</v>
      </c>
      <c r="C3" s="20">
        <v>0</v>
      </c>
      <c r="D3" s="20">
        <v>0</v>
      </c>
      <c r="E3" s="20">
        <v>0</v>
      </c>
      <c r="F3" s="20">
        <v>3</v>
      </c>
      <c r="G3" s="20">
        <v>2</v>
      </c>
      <c r="H3" s="20">
        <f t="shared" si="0"/>
        <v>6</v>
      </c>
      <c r="I3" s="20">
        <f t="shared" si="1"/>
        <v>2</v>
      </c>
      <c r="J3" s="20">
        <f t="shared" si="2"/>
        <v>0</v>
      </c>
      <c r="K3" s="20">
        <f t="shared" si="2"/>
        <v>0</v>
      </c>
      <c r="L3" s="20" t="s">
        <v>7</v>
      </c>
      <c r="M3" s="20" t="s">
        <v>227</v>
      </c>
      <c r="N3" s="20"/>
    </row>
    <row r="4" spans="1:14">
      <c r="A4" s="20">
        <v>1</v>
      </c>
      <c r="B4" s="20">
        <v>3</v>
      </c>
      <c r="C4" s="20">
        <v>0</v>
      </c>
      <c r="D4" s="20">
        <v>0</v>
      </c>
      <c r="E4" s="20">
        <v>0</v>
      </c>
      <c r="F4" s="20">
        <v>3</v>
      </c>
      <c r="G4" s="20">
        <v>2</v>
      </c>
      <c r="H4" s="20">
        <f t="shared" si="0"/>
        <v>6</v>
      </c>
      <c r="I4" s="20">
        <f t="shared" si="1"/>
        <v>2</v>
      </c>
      <c r="J4" s="20">
        <f t="shared" si="2"/>
        <v>0</v>
      </c>
      <c r="K4" s="20">
        <f t="shared" si="2"/>
        <v>0</v>
      </c>
      <c r="L4" s="20" t="s">
        <v>131</v>
      </c>
      <c r="M4" s="20" t="s">
        <v>227</v>
      </c>
      <c r="N4" s="20"/>
    </row>
    <row r="5" spans="1:14">
      <c r="A5" s="20" t="s">
        <v>130</v>
      </c>
      <c r="B5" s="20">
        <v>4</v>
      </c>
      <c r="C5" s="20">
        <v>0</v>
      </c>
      <c r="D5" s="20">
        <v>0</v>
      </c>
      <c r="E5" s="20">
        <v>0</v>
      </c>
      <c r="F5" s="20">
        <v>3</v>
      </c>
      <c r="G5" s="20">
        <v>2</v>
      </c>
      <c r="H5" s="20">
        <f t="shared" si="0"/>
        <v>7</v>
      </c>
      <c r="I5" s="20">
        <f t="shared" si="1"/>
        <v>2</v>
      </c>
      <c r="J5" s="20">
        <f t="shared" ref="J5:J36" si="3">D5</f>
        <v>0</v>
      </c>
      <c r="K5" s="20">
        <f t="shared" ref="K5:K45" si="4">E5</f>
        <v>0</v>
      </c>
      <c r="L5" s="21" t="s">
        <v>3</v>
      </c>
      <c r="M5" s="20" t="s">
        <v>227</v>
      </c>
      <c r="N5" s="20"/>
    </row>
    <row r="6" spans="1:14">
      <c r="A6" s="20" t="s">
        <v>130</v>
      </c>
      <c r="B6" s="20">
        <v>4</v>
      </c>
      <c r="C6" s="20">
        <v>0</v>
      </c>
      <c r="D6" s="20">
        <v>0</v>
      </c>
      <c r="E6" s="20">
        <v>0</v>
      </c>
      <c r="F6" s="20">
        <v>3</v>
      </c>
      <c r="G6" s="20">
        <v>2</v>
      </c>
      <c r="H6" s="20">
        <f t="shared" si="0"/>
        <v>7</v>
      </c>
      <c r="I6" s="20">
        <f t="shared" si="1"/>
        <v>2</v>
      </c>
      <c r="J6" s="20">
        <f t="shared" si="3"/>
        <v>0</v>
      </c>
      <c r="K6" s="20">
        <f t="shared" ref="K6:K8" si="5">E6</f>
        <v>0</v>
      </c>
      <c r="L6" s="20" t="s">
        <v>242</v>
      </c>
      <c r="M6" s="20" t="s">
        <v>227</v>
      </c>
      <c r="N6" s="20"/>
    </row>
    <row r="7" spans="1:14">
      <c r="A7" s="20" t="s">
        <v>130</v>
      </c>
      <c r="B7" s="20">
        <v>4</v>
      </c>
      <c r="C7" s="20">
        <v>0</v>
      </c>
      <c r="D7" s="20">
        <v>0</v>
      </c>
      <c r="E7" s="20">
        <v>0</v>
      </c>
      <c r="F7" s="20">
        <v>3</v>
      </c>
      <c r="G7" s="20">
        <v>2</v>
      </c>
      <c r="H7" s="20">
        <f t="shared" si="0"/>
        <v>7</v>
      </c>
      <c r="I7" s="20">
        <f t="shared" si="1"/>
        <v>2</v>
      </c>
      <c r="J7" s="20">
        <f t="shared" si="3"/>
        <v>0</v>
      </c>
      <c r="K7" s="20">
        <f t="shared" si="5"/>
        <v>0</v>
      </c>
      <c r="L7" s="22" t="s">
        <v>244</v>
      </c>
      <c r="M7" s="20" t="s">
        <v>227</v>
      </c>
      <c r="N7" s="20"/>
    </row>
    <row r="8" spans="1:14">
      <c r="A8" s="20" t="s">
        <v>130</v>
      </c>
      <c r="B8" s="20">
        <v>4</v>
      </c>
      <c r="C8" s="20">
        <v>0</v>
      </c>
      <c r="D8" s="20">
        <v>0</v>
      </c>
      <c r="E8" s="20">
        <v>0</v>
      </c>
      <c r="F8" s="20">
        <v>3</v>
      </c>
      <c r="G8" s="20">
        <v>2</v>
      </c>
      <c r="H8" s="20">
        <f t="shared" si="0"/>
        <v>7</v>
      </c>
      <c r="I8" s="20">
        <f t="shared" si="1"/>
        <v>2</v>
      </c>
      <c r="J8" s="20">
        <f t="shared" si="3"/>
        <v>0</v>
      </c>
      <c r="K8" s="20">
        <f t="shared" si="5"/>
        <v>0</v>
      </c>
      <c r="L8" s="23" t="s">
        <v>243</v>
      </c>
      <c r="M8" s="20" t="s">
        <v>227</v>
      </c>
      <c r="N8" s="20"/>
    </row>
    <row r="9" spans="1:14">
      <c r="A9" s="20">
        <v>3</v>
      </c>
      <c r="B9" s="20">
        <v>5</v>
      </c>
      <c r="C9" s="20">
        <v>0</v>
      </c>
      <c r="D9" s="20">
        <v>0</v>
      </c>
      <c r="E9" s="20">
        <v>0</v>
      </c>
      <c r="F9" s="20">
        <v>3</v>
      </c>
      <c r="G9" s="20">
        <v>2</v>
      </c>
      <c r="H9" s="20">
        <f t="shared" si="0"/>
        <v>8</v>
      </c>
      <c r="I9" s="20">
        <f t="shared" si="1"/>
        <v>2</v>
      </c>
      <c r="J9" s="20">
        <f t="shared" si="3"/>
        <v>0</v>
      </c>
      <c r="K9" s="20">
        <f t="shared" si="4"/>
        <v>0</v>
      </c>
      <c r="L9" s="23" t="s">
        <v>245</v>
      </c>
      <c r="M9" s="20" t="s">
        <v>227</v>
      </c>
      <c r="N9" s="20"/>
    </row>
    <row r="10" spans="1:14">
      <c r="A10" s="20">
        <v>3</v>
      </c>
      <c r="B10" s="20">
        <v>5</v>
      </c>
      <c r="C10" s="20">
        <v>0</v>
      </c>
      <c r="D10" s="20">
        <v>0</v>
      </c>
      <c r="E10" s="20">
        <v>0</v>
      </c>
      <c r="F10" s="20">
        <v>3</v>
      </c>
      <c r="G10" s="20">
        <v>2</v>
      </c>
      <c r="H10" s="20">
        <f t="shared" si="0"/>
        <v>8</v>
      </c>
      <c r="I10" s="20">
        <f t="shared" si="1"/>
        <v>2</v>
      </c>
      <c r="J10" s="20">
        <f t="shared" si="3"/>
        <v>0</v>
      </c>
      <c r="K10" s="20">
        <f t="shared" ref="K10" si="6">E10</f>
        <v>0</v>
      </c>
      <c r="L10" s="23" t="s">
        <v>9</v>
      </c>
      <c r="M10" s="20" t="s">
        <v>227</v>
      </c>
      <c r="N10" s="20"/>
    </row>
    <row r="11" spans="1:14">
      <c r="A11" s="20">
        <v>4</v>
      </c>
      <c r="B11" s="20">
        <v>6</v>
      </c>
      <c r="C11" s="20">
        <v>0</v>
      </c>
      <c r="D11" s="20">
        <v>0</v>
      </c>
      <c r="E11" s="20">
        <v>0</v>
      </c>
      <c r="F11" s="20">
        <v>3</v>
      </c>
      <c r="G11" s="20">
        <v>2</v>
      </c>
      <c r="H11" s="20">
        <f t="shared" si="0"/>
        <v>9</v>
      </c>
      <c r="I11" s="20">
        <f t="shared" si="1"/>
        <v>2</v>
      </c>
      <c r="J11" s="20">
        <f t="shared" si="3"/>
        <v>0</v>
      </c>
      <c r="K11" s="20">
        <f t="shared" si="4"/>
        <v>0</v>
      </c>
      <c r="L11" s="23" t="s">
        <v>10</v>
      </c>
      <c r="M11" s="20" t="s">
        <v>227</v>
      </c>
      <c r="N11" s="20"/>
    </row>
    <row r="12" spans="1:14">
      <c r="A12" s="20">
        <v>5</v>
      </c>
      <c r="B12" s="20">
        <v>2</v>
      </c>
      <c r="C12" s="20">
        <v>1</v>
      </c>
      <c r="D12" s="20">
        <v>2</v>
      </c>
      <c r="E12" s="20">
        <v>0</v>
      </c>
      <c r="F12" s="20">
        <v>3</v>
      </c>
      <c r="G12" s="20">
        <v>2</v>
      </c>
      <c r="H12" s="20">
        <f t="shared" si="0"/>
        <v>5</v>
      </c>
      <c r="I12" s="20">
        <f t="shared" si="1"/>
        <v>3</v>
      </c>
      <c r="J12" s="20">
        <f t="shared" si="3"/>
        <v>2</v>
      </c>
      <c r="K12" s="20">
        <f t="shared" si="4"/>
        <v>0</v>
      </c>
      <c r="L12" s="23" t="s">
        <v>16</v>
      </c>
      <c r="M12" s="20" t="s">
        <v>228</v>
      </c>
      <c r="N12" s="20"/>
    </row>
    <row r="13" spans="1:14">
      <c r="A13" s="20">
        <v>5</v>
      </c>
      <c r="B13" s="20">
        <v>2</v>
      </c>
      <c r="C13" s="20">
        <v>1</v>
      </c>
      <c r="D13" s="20">
        <v>2</v>
      </c>
      <c r="E13" s="20">
        <v>0</v>
      </c>
      <c r="F13" s="20">
        <v>3</v>
      </c>
      <c r="G13" s="20">
        <v>2</v>
      </c>
      <c r="H13" s="20">
        <f t="shared" si="0"/>
        <v>5</v>
      </c>
      <c r="I13" s="20">
        <f t="shared" si="1"/>
        <v>3</v>
      </c>
      <c r="J13" s="20">
        <f t="shared" si="3"/>
        <v>2</v>
      </c>
      <c r="K13" s="20">
        <f t="shared" ref="K13" si="7">E13</f>
        <v>0</v>
      </c>
      <c r="L13" s="23" t="s">
        <v>17</v>
      </c>
      <c r="M13" s="20" t="s">
        <v>228</v>
      </c>
      <c r="N13" s="20"/>
    </row>
    <row r="14" spans="1:14">
      <c r="A14" s="20">
        <v>6</v>
      </c>
      <c r="B14" s="20">
        <v>3</v>
      </c>
      <c r="C14" s="20">
        <v>1</v>
      </c>
      <c r="D14" s="20">
        <v>2</v>
      </c>
      <c r="E14" s="20">
        <v>0</v>
      </c>
      <c r="F14" s="20">
        <v>3</v>
      </c>
      <c r="G14" s="20">
        <v>2</v>
      </c>
      <c r="H14" s="20">
        <f t="shared" si="0"/>
        <v>6</v>
      </c>
      <c r="I14" s="20">
        <f t="shared" si="1"/>
        <v>3</v>
      </c>
      <c r="J14" s="20">
        <f t="shared" si="3"/>
        <v>2</v>
      </c>
      <c r="K14" s="20">
        <f t="shared" si="4"/>
        <v>0</v>
      </c>
      <c r="L14" s="23"/>
      <c r="M14" s="20" t="s">
        <v>228</v>
      </c>
      <c r="N14" s="20"/>
    </row>
    <row r="15" spans="1:14">
      <c r="A15" s="20">
        <v>7</v>
      </c>
      <c r="B15" s="20">
        <v>0</v>
      </c>
      <c r="C15" s="20">
        <v>2</v>
      </c>
      <c r="D15" s="20">
        <v>1</v>
      </c>
      <c r="E15" s="20">
        <v>0</v>
      </c>
      <c r="F15" s="20">
        <v>3</v>
      </c>
      <c r="G15" s="20">
        <v>2</v>
      </c>
      <c r="H15" s="20">
        <f t="shared" si="0"/>
        <v>3</v>
      </c>
      <c r="I15" s="20">
        <f t="shared" si="1"/>
        <v>4</v>
      </c>
      <c r="J15" s="20">
        <f t="shared" si="3"/>
        <v>1</v>
      </c>
      <c r="K15" s="20">
        <f t="shared" si="4"/>
        <v>0</v>
      </c>
      <c r="L15" s="23" t="s">
        <v>19</v>
      </c>
      <c r="M15" s="20" t="s">
        <v>229</v>
      </c>
      <c r="N15" s="20"/>
    </row>
    <row r="16" spans="1:14">
      <c r="A16" s="20">
        <v>8</v>
      </c>
      <c r="B16" s="20">
        <v>2</v>
      </c>
      <c r="C16" s="20">
        <v>2</v>
      </c>
      <c r="D16" s="20">
        <v>0</v>
      </c>
      <c r="E16" s="20">
        <v>0</v>
      </c>
      <c r="F16" s="20">
        <v>3</v>
      </c>
      <c r="G16" s="20">
        <v>2</v>
      </c>
      <c r="H16" s="20">
        <f t="shared" si="0"/>
        <v>5</v>
      </c>
      <c r="I16" s="20">
        <f t="shared" si="1"/>
        <v>4</v>
      </c>
      <c r="J16" s="20">
        <f t="shared" si="3"/>
        <v>0</v>
      </c>
      <c r="K16" s="20">
        <f t="shared" si="4"/>
        <v>0</v>
      </c>
      <c r="L16" s="23" t="s">
        <v>22</v>
      </c>
      <c r="M16" s="20" t="s">
        <v>229</v>
      </c>
      <c r="N16" s="20"/>
    </row>
    <row r="17" spans="1:14">
      <c r="A17" s="24" t="s">
        <v>28</v>
      </c>
      <c r="B17" s="24">
        <v>1</v>
      </c>
      <c r="C17" s="24">
        <v>2</v>
      </c>
      <c r="D17" s="24">
        <v>2</v>
      </c>
      <c r="E17" s="24">
        <v>0</v>
      </c>
      <c r="F17" s="24">
        <v>3</v>
      </c>
      <c r="G17" s="24">
        <v>2</v>
      </c>
      <c r="H17" s="24">
        <f t="shared" si="0"/>
        <v>4</v>
      </c>
      <c r="I17" s="24">
        <f t="shared" si="1"/>
        <v>4</v>
      </c>
      <c r="J17" s="24">
        <f t="shared" si="3"/>
        <v>2</v>
      </c>
      <c r="K17" s="24">
        <f t="shared" si="4"/>
        <v>0</v>
      </c>
      <c r="L17" s="25" t="s">
        <v>26</v>
      </c>
      <c r="M17" s="24" t="s">
        <v>229</v>
      </c>
      <c r="N17" s="20"/>
    </row>
    <row r="18" spans="1:14">
      <c r="A18" s="24" t="s">
        <v>30</v>
      </c>
      <c r="B18" s="24">
        <v>1</v>
      </c>
      <c r="C18" s="24">
        <v>2</v>
      </c>
      <c r="D18" s="24">
        <v>2</v>
      </c>
      <c r="E18" s="24">
        <v>0</v>
      </c>
      <c r="F18" s="24">
        <v>3</v>
      </c>
      <c r="G18" s="24">
        <v>2</v>
      </c>
      <c r="H18" s="24">
        <f t="shared" si="0"/>
        <v>4</v>
      </c>
      <c r="I18" s="24">
        <f t="shared" si="1"/>
        <v>4</v>
      </c>
      <c r="J18" s="24">
        <f t="shared" si="3"/>
        <v>2</v>
      </c>
      <c r="K18" s="24">
        <f t="shared" ref="K18" si="8">E18</f>
        <v>0</v>
      </c>
      <c r="L18" s="25" t="s">
        <v>31</v>
      </c>
      <c r="M18" s="24" t="s">
        <v>228</v>
      </c>
      <c r="N18" s="20"/>
    </row>
    <row r="19" spans="1:14">
      <c r="A19" s="24" t="s">
        <v>127</v>
      </c>
      <c r="B19" s="24">
        <v>2</v>
      </c>
      <c r="C19" s="24">
        <v>2</v>
      </c>
      <c r="D19" s="24">
        <v>1</v>
      </c>
      <c r="E19" s="24">
        <v>0</v>
      </c>
      <c r="F19" s="24">
        <v>3</v>
      </c>
      <c r="G19" s="24">
        <v>2</v>
      </c>
      <c r="H19" s="24">
        <f t="shared" si="0"/>
        <v>5</v>
      </c>
      <c r="I19" s="24">
        <f t="shared" si="1"/>
        <v>4</v>
      </c>
      <c r="J19" s="24">
        <f t="shared" si="3"/>
        <v>1</v>
      </c>
      <c r="K19" s="24">
        <f t="shared" si="4"/>
        <v>0</v>
      </c>
      <c r="L19" s="25"/>
      <c r="M19" s="24" t="s">
        <v>229</v>
      </c>
      <c r="N19" s="20"/>
    </row>
    <row r="20" spans="1:14">
      <c r="A20" s="24" t="s">
        <v>129</v>
      </c>
      <c r="B20" s="24">
        <v>2</v>
      </c>
      <c r="C20" s="24">
        <v>2</v>
      </c>
      <c r="D20" s="24">
        <v>1</v>
      </c>
      <c r="E20" s="24">
        <v>0</v>
      </c>
      <c r="F20" s="24">
        <v>3</v>
      </c>
      <c r="G20" s="24">
        <v>2</v>
      </c>
      <c r="H20" s="24">
        <f t="shared" si="0"/>
        <v>5</v>
      </c>
      <c r="I20" s="24">
        <f t="shared" si="1"/>
        <v>4</v>
      </c>
      <c r="J20" s="24">
        <f t="shared" si="3"/>
        <v>1</v>
      </c>
      <c r="K20" s="24">
        <f t="shared" ref="K20" si="9">E20</f>
        <v>0</v>
      </c>
      <c r="L20" s="24"/>
      <c r="M20" s="24" t="s">
        <v>230</v>
      </c>
      <c r="N20" s="20"/>
    </row>
    <row r="21" spans="1:14">
      <c r="A21" s="20">
        <v>11</v>
      </c>
      <c r="B21" s="20">
        <v>2</v>
      </c>
      <c r="C21" s="20">
        <v>2</v>
      </c>
      <c r="D21" s="20">
        <v>3</v>
      </c>
      <c r="E21" s="20">
        <v>0</v>
      </c>
      <c r="F21" s="20">
        <v>3</v>
      </c>
      <c r="G21" s="20">
        <v>2</v>
      </c>
      <c r="H21" s="20">
        <f t="shared" si="0"/>
        <v>5</v>
      </c>
      <c r="I21" s="20">
        <f t="shared" si="1"/>
        <v>4</v>
      </c>
      <c r="J21" s="20">
        <f t="shared" si="3"/>
        <v>3</v>
      </c>
      <c r="K21" s="20">
        <f t="shared" si="4"/>
        <v>0</v>
      </c>
      <c r="L21" s="20" t="s">
        <v>40</v>
      </c>
      <c r="M21" s="20" t="s">
        <v>228</v>
      </c>
      <c r="N21" s="20"/>
    </row>
    <row r="22" spans="1:14">
      <c r="A22" s="20" t="s">
        <v>126</v>
      </c>
      <c r="B22" s="20">
        <v>2</v>
      </c>
      <c r="C22" s="20">
        <v>2</v>
      </c>
      <c r="D22" s="20">
        <v>2</v>
      </c>
      <c r="E22" s="20">
        <v>1</v>
      </c>
      <c r="F22" s="20">
        <v>3</v>
      </c>
      <c r="G22" s="20">
        <v>2</v>
      </c>
      <c r="H22" s="20">
        <f t="shared" si="0"/>
        <v>5</v>
      </c>
      <c r="I22" s="20">
        <f t="shared" si="1"/>
        <v>4</v>
      </c>
      <c r="J22" s="20">
        <f t="shared" si="3"/>
        <v>2</v>
      </c>
      <c r="K22" s="20">
        <f t="shared" si="4"/>
        <v>1</v>
      </c>
      <c r="L22" s="20" t="s">
        <v>46</v>
      </c>
      <c r="M22" s="20" t="s">
        <v>228</v>
      </c>
      <c r="N22" s="20"/>
    </row>
    <row r="23" spans="1:14">
      <c r="A23" s="20" t="s">
        <v>126</v>
      </c>
      <c r="B23" s="20">
        <v>2</v>
      </c>
      <c r="C23" s="20">
        <v>2</v>
      </c>
      <c r="D23" s="20">
        <v>2</v>
      </c>
      <c r="E23" s="20">
        <v>1</v>
      </c>
      <c r="F23" s="20">
        <v>3</v>
      </c>
      <c r="G23" s="20">
        <v>2</v>
      </c>
      <c r="H23" s="20">
        <f t="shared" si="0"/>
        <v>5</v>
      </c>
      <c r="I23" s="20">
        <f t="shared" si="1"/>
        <v>4</v>
      </c>
      <c r="J23" s="20">
        <f t="shared" si="3"/>
        <v>2</v>
      </c>
      <c r="K23" s="20">
        <f t="shared" ref="K23" si="10">E23</f>
        <v>1</v>
      </c>
      <c r="L23" s="20" t="s">
        <v>246</v>
      </c>
      <c r="M23" s="20" t="s">
        <v>228</v>
      </c>
      <c r="N23" s="20"/>
    </row>
    <row r="24" spans="1:14">
      <c r="A24" s="20">
        <v>13</v>
      </c>
      <c r="B24" s="20">
        <v>2</v>
      </c>
      <c r="C24" s="20">
        <v>2</v>
      </c>
      <c r="D24" s="20">
        <v>2</v>
      </c>
      <c r="E24" s="20">
        <v>2</v>
      </c>
      <c r="F24" s="20">
        <v>3</v>
      </c>
      <c r="G24" s="20">
        <v>2</v>
      </c>
      <c r="H24" s="20">
        <f t="shared" si="0"/>
        <v>5</v>
      </c>
      <c r="I24" s="20">
        <f t="shared" si="1"/>
        <v>4</v>
      </c>
      <c r="J24" s="20">
        <f t="shared" si="3"/>
        <v>2</v>
      </c>
      <c r="K24" s="20">
        <f t="shared" si="4"/>
        <v>2</v>
      </c>
      <c r="L24" s="20" t="s">
        <v>49</v>
      </c>
      <c r="M24" s="20" t="s">
        <v>228</v>
      </c>
      <c r="N24" s="20"/>
    </row>
    <row r="25" spans="1:14">
      <c r="A25" s="20" t="s">
        <v>125</v>
      </c>
      <c r="B25" s="20">
        <v>2</v>
      </c>
      <c r="C25" s="20">
        <v>2</v>
      </c>
      <c r="D25" s="20">
        <v>1</v>
      </c>
      <c r="E25" s="20">
        <v>3</v>
      </c>
      <c r="F25" s="20">
        <v>3</v>
      </c>
      <c r="G25" s="20">
        <v>2</v>
      </c>
      <c r="H25" s="20">
        <f t="shared" si="0"/>
        <v>5</v>
      </c>
      <c r="I25" s="20">
        <f t="shared" si="1"/>
        <v>4</v>
      </c>
      <c r="J25" s="20">
        <f t="shared" si="3"/>
        <v>1</v>
      </c>
      <c r="K25" s="20">
        <f t="shared" si="4"/>
        <v>3</v>
      </c>
      <c r="L25" s="20" t="s">
        <v>51</v>
      </c>
      <c r="M25" s="20" t="s">
        <v>228</v>
      </c>
      <c r="N25" s="20"/>
    </row>
    <row r="26" spans="1:14">
      <c r="A26" s="20">
        <v>15</v>
      </c>
      <c r="B26" s="20">
        <v>2</v>
      </c>
      <c r="C26" s="20">
        <v>2</v>
      </c>
      <c r="D26" s="20">
        <v>1</v>
      </c>
      <c r="E26" s="20">
        <v>4</v>
      </c>
      <c r="F26" s="20">
        <v>3</v>
      </c>
      <c r="G26" s="20">
        <v>2</v>
      </c>
      <c r="H26" s="20">
        <f t="shared" si="0"/>
        <v>5</v>
      </c>
      <c r="I26" s="20">
        <f t="shared" si="1"/>
        <v>4</v>
      </c>
      <c r="J26" s="20">
        <f t="shared" si="3"/>
        <v>1</v>
      </c>
      <c r="K26" s="20">
        <f t="shared" si="4"/>
        <v>4</v>
      </c>
      <c r="L26" s="20" t="s">
        <v>135</v>
      </c>
      <c r="M26" s="20" t="s">
        <v>230</v>
      </c>
      <c r="N26" s="20"/>
    </row>
    <row r="27" spans="1:14">
      <c r="A27" s="20">
        <v>16</v>
      </c>
      <c r="B27" s="20">
        <v>0</v>
      </c>
      <c r="C27" s="20">
        <v>3</v>
      </c>
      <c r="D27" s="20">
        <v>1</v>
      </c>
      <c r="E27" s="20">
        <v>0</v>
      </c>
      <c r="F27" s="20">
        <v>3</v>
      </c>
      <c r="G27" s="20">
        <v>2</v>
      </c>
      <c r="H27" s="20">
        <f t="shared" si="0"/>
        <v>3</v>
      </c>
      <c r="I27" s="20">
        <f t="shared" si="1"/>
        <v>5</v>
      </c>
      <c r="J27" s="20">
        <f t="shared" si="3"/>
        <v>1</v>
      </c>
      <c r="K27" s="20">
        <f t="shared" si="4"/>
        <v>0</v>
      </c>
      <c r="L27" s="20" t="s">
        <v>247</v>
      </c>
      <c r="M27" s="20" t="s">
        <v>229</v>
      </c>
      <c r="N27" s="20"/>
    </row>
    <row r="28" spans="1:14">
      <c r="A28" s="20" t="s">
        <v>124</v>
      </c>
      <c r="B28" s="20">
        <v>1</v>
      </c>
      <c r="C28" s="20">
        <v>3</v>
      </c>
      <c r="D28" s="20">
        <v>1</v>
      </c>
      <c r="E28" s="20">
        <v>0</v>
      </c>
      <c r="F28" s="20">
        <v>3</v>
      </c>
      <c r="G28" s="20">
        <v>2</v>
      </c>
      <c r="H28" s="20">
        <f t="shared" si="0"/>
        <v>4</v>
      </c>
      <c r="I28" s="20">
        <f t="shared" si="1"/>
        <v>5</v>
      </c>
      <c r="J28" s="20">
        <f t="shared" si="3"/>
        <v>1</v>
      </c>
      <c r="K28" s="20">
        <f t="shared" si="4"/>
        <v>0</v>
      </c>
      <c r="L28" s="20" t="s">
        <v>137</v>
      </c>
      <c r="M28" s="20" t="s">
        <v>229</v>
      </c>
      <c r="N28" s="20"/>
    </row>
    <row r="29" spans="1:14">
      <c r="A29" s="20" t="s">
        <v>124</v>
      </c>
      <c r="B29" s="20">
        <v>1</v>
      </c>
      <c r="C29" s="20">
        <v>3</v>
      </c>
      <c r="D29" s="20">
        <v>1</v>
      </c>
      <c r="E29" s="20">
        <v>0</v>
      </c>
      <c r="F29" s="20">
        <v>3</v>
      </c>
      <c r="G29" s="20">
        <v>2</v>
      </c>
      <c r="H29" s="20">
        <f t="shared" si="0"/>
        <v>4</v>
      </c>
      <c r="I29" s="20">
        <f t="shared" si="1"/>
        <v>5</v>
      </c>
      <c r="J29" s="20">
        <f t="shared" si="3"/>
        <v>1</v>
      </c>
      <c r="K29" s="20">
        <f t="shared" ref="K29:K30" si="11">E29</f>
        <v>0</v>
      </c>
      <c r="L29" s="20" t="s">
        <v>63</v>
      </c>
      <c r="M29" s="20" t="s">
        <v>229</v>
      </c>
      <c r="N29" s="20"/>
    </row>
    <row r="30" spans="1:14">
      <c r="A30" s="20" t="s">
        <v>124</v>
      </c>
      <c r="B30" s="20">
        <v>1</v>
      </c>
      <c r="C30" s="20">
        <v>3</v>
      </c>
      <c r="D30" s="20">
        <v>1</v>
      </c>
      <c r="E30" s="20">
        <v>0</v>
      </c>
      <c r="F30" s="20">
        <v>3</v>
      </c>
      <c r="G30" s="20">
        <v>2</v>
      </c>
      <c r="H30" s="20">
        <f t="shared" si="0"/>
        <v>4</v>
      </c>
      <c r="I30" s="20">
        <f t="shared" si="1"/>
        <v>5</v>
      </c>
      <c r="J30" s="20">
        <f t="shared" si="3"/>
        <v>1</v>
      </c>
      <c r="K30" s="20">
        <f t="shared" si="11"/>
        <v>0</v>
      </c>
      <c r="L30" s="20" t="s">
        <v>248</v>
      </c>
      <c r="M30" s="20" t="s">
        <v>229</v>
      </c>
      <c r="N30" s="20"/>
    </row>
    <row r="31" spans="1:14">
      <c r="A31" s="24" t="s">
        <v>67</v>
      </c>
      <c r="B31" s="24">
        <v>1</v>
      </c>
      <c r="C31" s="24">
        <v>3</v>
      </c>
      <c r="D31" s="24">
        <v>2</v>
      </c>
      <c r="E31" s="24">
        <v>0</v>
      </c>
      <c r="F31" s="24">
        <v>3</v>
      </c>
      <c r="G31" s="24">
        <v>2</v>
      </c>
      <c r="H31" s="24">
        <f t="shared" si="0"/>
        <v>4</v>
      </c>
      <c r="I31" s="24">
        <f t="shared" si="1"/>
        <v>5</v>
      </c>
      <c r="J31" s="24">
        <f t="shared" si="3"/>
        <v>2</v>
      </c>
      <c r="K31" s="24">
        <f t="shared" si="4"/>
        <v>0</v>
      </c>
      <c r="L31" s="24" t="s">
        <v>70</v>
      </c>
      <c r="M31" s="24" t="s">
        <v>229</v>
      </c>
      <c r="N31" s="20"/>
    </row>
    <row r="32" spans="1:14">
      <c r="A32" s="24" t="s">
        <v>69</v>
      </c>
      <c r="B32" s="24">
        <v>1</v>
      </c>
      <c r="C32" s="24">
        <v>3</v>
      </c>
      <c r="D32" s="24">
        <v>2</v>
      </c>
      <c r="E32" s="24">
        <v>0</v>
      </c>
      <c r="F32" s="24">
        <v>3</v>
      </c>
      <c r="G32" s="24">
        <v>2</v>
      </c>
      <c r="H32" s="24">
        <f t="shared" si="0"/>
        <v>4</v>
      </c>
      <c r="I32" s="24">
        <f t="shared" si="1"/>
        <v>5</v>
      </c>
      <c r="J32" s="24">
        <f t="shared" si="3"/>
        <v>2</v>
      </c>
      <c r="K32" s="24">
        <f t="shared" ref="K32" si="12">E32</f>
        <v>0</v>
      </c>
      <c r="L32" s="24" t="s">
        <v>232</v>
      </c>
      <c r="M32" s="24" t="s">
        <v>230</v>
      </c>
      <c r="N32" s="20"/>
    </row>
    <row r="33" spans="1:14">
      <c r="A33" s="24" t="s">
        <v>69</v>
      </c>
      <c r="B33" s="24">
        <v>1</v>
      </c>
      <c r="C33" s="24">
        <v>3</v>
      </c>
      <c r="D33" s="24">
        <v>2</v>
      </c>
      <c r="E33" s="24">
        <v>0</v>
      </c>
      <c r="F33" s="24">
        <v>3</v>
      </c>
      <c r="G33" s="24">
        <v>2</v>
      </c>
      <c r="H33" s="24">
        <f t="shared" si="0"/>
        <v>4</v>
      </c>
      <c r="I33" s="24">
        <f t="shared" si="1"/>
        <v>5</v>
      </c>
      <c r="J33" s="24">
        <f t="shared" si="3"/>
        <v>2</v>
      </c>
      <c r="K33" s="24">
        <f t="shared" ref="K33" si="13">E33</f>
        <v>0</v>
      </c>
      <c r="L33" s="24" t="s">
        <v>233</v>
      </c>
      <c r="M33" s="24" t="s">
        <v>230</v>
      </c>
      <c r="N33" s="20"/>
    </row>
    <row r="34" spans="1:14">
      <c r="A34" s="24" t="s">
        <v>74</v>
      </c>
      <c r="B34" s="24">
        <v>2</v>
      </c>
      <c r="C34" s="24">
        <v>3</v>
      </c>
      <c r="D34" s="24">
        <v>3</v>
      </c>
      <c r="E34" s="24">
        <v>0</v>
      </c>
      <c r="F34" s="24">
        <v>3</v>
      </c>
      <c r="G34" s="24">
        <v>2</v>
      </c>
      <c r="H34" s="24">
        <f t="shared" si="0"/>
        <v>5</v>
      </c>
      <c r="I34" s="24">
        <f t="shared" si="1"/>
        <v>5</v>
      </c>
      <c r="J34" s="24">
        <f t="shared" si="3"/>
        <v>3</v>
      </c>
      <c r="K34" s="24">
        <f t="shared" si="4"/>
        <v>0</v>
      </c>
      <c r="L34" s="24" t="s">
        <v>79</v>
      </c>
      <c r="M34" s="24" t="s">
        <v>229</v>
      </c>
      <c r="N34" s="20"/>
    </row>
    <row r="35" spans="1:14">
      <c r="A35" s="24" t="s">
        <v>123</v>
      </c>
      <c r="B35" s="24">
        <v>2</v>
      </c>
      <c r="C35" s="24">
        <v>3</v>
      </c>
      <c r="D35" s="24">
        <v>3</v>
      </c>
      <c r="E35" s="24">
        <v>0</v>
      </c>
      <c r="F35" s="24">
        <v>3</v>
      </c>
      <c r="G35" s="24">
        <v>2</v>
      </c>
      <c r="H35" s="24">
        <f t="shared" si="0"/>
        <v>5</v>
      </c>
      <c r="I35" s="24">
        <f t="shared" si="1"/>
        <v>5</v>
      </c>
      <c r="J35" s="24">
        <f t="shared" si="3"/>
        <v>3</v>
      </c>
      <c r="K35" s="24">
        <f t="shared" ref="K35" si="14">E35</f>
        <v>0</v>
      </c>
      <c r="L35" s="24"/>
      <c r="M35" s="24" t="s">
        <v>228</v>
      </c>
      <c r="N35" s="20" t="s">
        <v>234</v>
      </c>
    </row>
    <row r="36" spans="1:14">
      <c r="A36" s="20">
        <v>20</v>
      </c>
      <c r="B36" s="20">
        <v>2</v>
      </c>
      <c r="C36" s="20">
        <v>3</v>
      </c>
      <c r="D36" s="20">
        <v>2</v>
      </c>
      <c r="E36" s="20">
        <v>1</v>
      </c>
      <c r="F36" s="20">
        <v>3</v>
      </c>
      <c r="G36" s="20">
        <v>2</v>
      </c>
      <c r="H36" s="20">
        <f t="shared" si="0"/>
        <v>5</v>
      </c>
      <c r="I36" s="20">
        <f t="shared" si="1"/>
        <v>5</v>
      </c>
      <c r="J36" s="20">
        <f t="shared" si="3"/>
        <v>2</v>
      </c>
      <c r="K36" s="20">
        <f t="shared" si="4"/>
        <v>1</v>
      </c>
      <c r="L36" s="20" t="s">
        <v>249</v>
      </c>
      <c r="M36" s="20" t="s">
        <v>228</v>
      </c>
      <c r="N36" s="20"/>
    </row>
    <row r="37" spans="1:14">
      <c r="A37" s="20">
        <v>21</v>
      </c>
      <c r="B37" s="20">
        <v>3</v>
      </c>
      <c r="C37" s="20">
        <v>3</v>
      </c>
      <c r="D37" s="20">
        <v>3</v>
      </c>
      <c r="E37" s="20">
        <v>1</v>
      </c>
      <c r="F37" s="20">
        <v>3</v>
      </c>
      <c r="G37" s="20">
        <v>2</v>
      </c>
      <c r="H37" s="20">
        <f t="shared" ref="H37:I54" si="15">B37+F37</f>
        <v>6</v>
      </c>
      <c r="I37" s="20">
        <f t="shared" si="15"/>
        <v>5</v>
      </c>
      <c r="J37" s="20">
        <f t="shared" ref="J37:K54" si="16">D37</f>
        <v>3</v>
      </c>
      <c r="K37" s="20">
        <f t="shared" si="4"/>
        <v>1</v>
      </c>
      <c r="L37" s="20" t="s">
        <v>250</v>
      </c>
      <c r="M37" s="20" t="s">
        <v>228</v>
      </c>
      <c r="N37" s="20"/>
    </row>
    <row r="38" spans="1:14">
      <c r="A38" s="20" t="s">
        <v>122</v>
      </c>
      <c r="B38" s="20">
        <v>3</v>
      </c>
      <c r="C38" s="20">
        <v>3</v>
      </c>
      <c r="D38" s="20">
        <v>2</v>
      </c>
      <c r="E38" s="20">
        <v>2</v>
      </c>
      <c r="F38" s="20">
        <v>3</v>
      </c>
      <c r="G38" s="20">
        <v>2</v>
      </c>
      <c r="H38" s="20">
        <f t="shared" si="15"/>
        <v>6</v>
      </c>
      <c r="I38" s="20">
        <f t="shared" si="15"/>
        <v>5</v>
      </c>
      <c r="J38" s="20">
        <f t="shared" si="16"/>
        <v>2</v>
      </c>
      <c r="K38" s="20">
        <f t="shared" si="4"/>
        <v>2</v>
      </c>
      <c r="L38" s="20" t="s">
        <v>251</v>
      </c>
      <c r="M38" s="20" t="s">
        <v>228</v>
      </c>
      <c r="N38" s="20"/>
    </row>
    <row r="39" spans="1:14">
      <c r="A39" s="20" t="s">
        <v>122</v>
      </c>
      <c r="B39" s="20">
        <v>3</v>
      </c>
      <c r="C39" s="20">
        <v>3</v>
      </c>
      <c r="D39" s="20">
        <v>2</v>
      </c>
      <c r="E39" s="20">
        <v>2</v>
      </c>
      <c r="F39" s="20">
        <v>3</v>
      </c>
      <c r="G39" s="20">
        <v>2</v>
      </c>
      <c r="H39" s="20">
        <f t="shared" ref="H39" si="17">B39+F39</f>
        <v>6</v>
      </c>
      <c r="I39" s="20">
        <f t="shared" ref="I39" si="18">C39+G39</f>
        <v>5</v>
      </c>
      <c r="J39" s="20">
        <f t="shared" ref="J39" si="19">D39</f>
        <v>2</v>
      </c>
      <c r="K39" s="20">
        <f t="shared" ref="K39" si="20">E39</f>
        <v>2</v>
      </c>
      <c r="L39" s="20" t="s">
        <v>92</v>
      </c>
      <c r="M39" s="20" t="s">
        <v>228</v>
      </c>
      <c r="N39" s="20"/>
    </row>
    <row r="40" spans="1:14">
      <c r="A40" s="20" t="s">
        <v>121</v>
      </c>
      <c r="B40" s="20">
        <v>3</v>
      </c>
      <c r="C40" s="20">
        <v>3</v>
      </c>
      <c r="D40" s="20">
        <v>2</v>
      </c>
      <c r="E40" s="20">
        <v>3</v>
      </c>
      <c r="F40" s="20">
        <v>3</v>
      </c>
      <c r="G40" s="20">
        <v>2</v>
      </c>
      <c r="H40" s="20">
        <f t="shared" si="15"/>
        <v>6</v>
      </c>
      <c r="I40" s="20">
        <f t="shared" si="15"/>
        <v>5</v>
      </c>
      <c r="J40" s="20">
        <f t="shared" si="16"/>
        <v>2</v>
      </c>
      <c r="K40" s="20">
        <f t="shared" si="4"/>
        <v>3</v>
      </c>
      <c r="L40" s="20" t="s">
        <v>236</v>
      </c>
      <c r="M40" s="20" t="s">
        <v>228</v>
      </c>
      <c r="N40" s="20"/>
    </row>
    <row r="41" spans="1:14">
      <c r="A41" s="20" t="s">
        <v>121</v>
      </c>
      <c r="B41" s="20">
        <v>3</v>
      </c>
      <c r="C41" s="20">
        <v>3</v>
      </c>
      <c r="D41" s="20">
        <v>2</v>
      </c>
      <c r="E41" s="20">
        <v>3</v>
      </c>
      <c r="F41" s="20">
        <v>3</v>
      </c>
      <c r="G41" s="20">
        <v>2</v>
      </c>
      <c r="H41" s="20">
        <f t="shared" ref="H41" si="21">B41+F41</f>
        <v>6</v>
      </c>
      <c r="I41" s="20">
        <f t="shared" ref="I41" si="22">C41+G41</f>
        <v>5</v>
      </c>
      <c r="J41" s="20">
        <f t="shared" ref="J41" si="23">D41</f>
        <v>2</v>
      </c>
      <c r="K41" s="20">
        <f t="shared" ref="K41" si="24">E41</f>
        <v>3</v>
      </c>
      <c r="L41" s="20" t="s">
        <v>96</v>
      </c>
      <c r="M41" s="20" t="s">
        <v>228</v>
      </c>
      <c r="N41" s="20"/>
    </row>
    <row r="42" spans="1:14">
      <c r="A42" s="20">
        <v>24</v>
      </c>
      <c r="B42" s="20">
        <v>1</v>
      </c>
      <c r="C42" s="20">
        <v>4</v>
      </c>
      <c r="D42" s="20">
        <v>1</v>
      </c>
      <c r="E42" s="20">
        <v>0</v>
      </c>
      <c r="F42" s="20">
        <v>3</v>
      </c>
      <c r="G42" s="20">
        <v>2</v>
      </c>
      <c r="H42" s="20">
        <f t="shared" si="15"/>
        <v>4</v>
      </c>
      <c r="I42" s="20">
        <f t="shared" si="15"/>
        <v>6</v>
      </c>
      <c r="J42" s="20">
        <f t="shared" si="16"/>
        <v>1</v>
      </c>
      <c r="K42" s="20">
        <f t="shared" si="4"/>
        <v>0</v>
      </c>
      <c r="L42" s="20" t="s">
        <v>252</v>
      </c>
      <c r="M42" s="20" t="s">
        <v>229</v>
      </c>
      <c r="N42" s="20"/>
    </row>
    <row r="43" spans="1:14">
      <c r="A43" s="20">
        <v>25</v>
      </c>
      <c r="B43" s="20">
        <v>2</v>
      </c>
      <c r="C43" s="20">
        <v>4</v>
      </c>
      <c r="D43" s="20">
        <v>3</v>
      </c>
      <c r="E43" s="20">
        <v>0</v>
      </c>
      <c r="F43" s="20">
        <v>3</v>
      </c>
      <c r="G43" s="20">
        <v>2</v>
      </c>
      <c r="H43" s="20">
        <f t="shared" si="15"/>
        <v>5</v>
      </c>
      <c r="I43" s="20">
        <f t="shared" si="15"/>
        <v>6</v>
      </c>
      <c r="J43" s="20">
        <f t="shared" si="16"/>
        <v>3</v>
      </c>
      <c r="K43" s="20">
        <f t="shared" si="4"/>
        <v>0</v>
      </c>
      <c r="L43" s="20"/>
      <c r="M43" s="20" t="s">
        <v>229</v>
      </c>
      <c r="N43" s="20"/>
    </row>
    <row r="44" spans="1:14">
      <c r="A44" s="20" t="s">
        <v>120</v>
      </c>
      <c r="B44" s="20">
        <v>2</v>
      </c>
      <c r="C44" s="20">
        <v>4</v>
      </c>
      <c r="D44" s="20">
        <v>2</v>
      </c>
      <c r="E44" s="20">
        <v>2</v>
      </c>
      <c r="F44" s="20">
        <v>3</v>
      </c>
      <c r="G44" s="20">
        <v>2</v>
      </c>
      <c r="H44" s="20">
        <f t="shared" si="15"/>
        <v>5</v>
      </c>
      <c r="I44" s="20">
        <f t="shared" si="15"/>
        <v>6</v>
      </c>
      <c r="J44" s="20">
        <f t="shared" si="16"/>
        <v>2</v>
      </c>
      <c r="K44" s="20">
        <f t="shared" si="4"/>
        <v>2</v>
      </c>
      <c r="L44" s="20"/>
      <c r="M44" s="20" t="s">
        <v>229</v>
      </c>
      <c r="N44" s="20"/>
    </row>
    <row r="45" spans="1:14">
      <c r="A45" s="20">
        <v>27</v>
      </c>
      <c r="B45" s="20">
        <v>4</v>
      </c>
      <c r="C45" s="20">
        <v>4</v>
      </c>
      <c r="D45" s="20">
        <v>4</v>
      </c>
      <c r="E45" s="20">
        <v>1</v>
      </c>
      <c r="F45" s="20">
        <v>3</v>
      </c>
      <c r="G45" s="20">
        <v>2</v>
      </c>
      <c r="H45" s="20">
        <f t="shared" si="15"/>
        <v>7</v>
      </c>
      <c r="I45" s="20">
        <f t="shared" si="15"/>
        <v>6</v>
      </c>
      <c r="J45" s="20">
        <f t="shared" si="16"/>
        <v>4</v>
      </c>
      <c r="K45" s="20">
        <f t="shared" si="4"/>
        <v>1</v>
      </c>
      <c r="L45" s="20" t="s">
        <v>110</v>
      </c>
      <c r="M45" s="20" t="s">
        <v>230</v>
      </c>
      <c r="N45" s="20"/>
    </row>
    <row r="46" spans="1:14">
      <c r="A46" s="20">
        <v>27</v>
      </c>
      <c r="B46" s="20">
        <v>4</v>
      </c>
      <c r="C46" s="20">
        <v>4</v>
      </c>
      <c r="D46" s="20">
        <v>4</v>
      </c>
      <c r="E46" s="20">
        <v>1</v>
      </c>
      <c r="F46" s="20">
        <v>3</v>
      </c>
      <c r="G46" s="20">
        <v>2</v>
      </c>
      <c r="H46" s="20">
        <f t="shared" ref="H46" si="25">B46+F46</f>
        <v>7</v>
      </c>
      <c r="I46" s="20">
        <f t="shared" ref="I46" si="26">C46+G46</f>
        <v>6</v>
      </c>
      <c r="J46" s="20">
        <f t="shared" ref="J46" si="27">D46</f>
        <v>4</v>
      </c>
      <c r="K46" s="20">
        <f t="shared" ref="K46" si="28">E46</f>
        <v>1</v>
      </c>
      <c r="L46" s="20" t="s">
        <v>111</v>
      </c>
      <c r="M46" s="20" t="s">
        <v>230</v>
      </c>
      <c r="N46" s="20"/>
    </row>
    <row r="47" spans="1:14">
      <c r="A47" s="20" t="s">
        <v>119</v>
      </c>
      <c r="B47" s="20">
        <v>4</v>
      </c>
      <c r="C47" s="20">
        <v>4</v>
      </c>
      <c r="D47" s="20">
        <v>3</v>
      </c>
      <c r="E47" s="20">
        <v>2</v>
      </c>
      <c r="F47" s="20">
        <v>3</v>
      </c>
      <c r="G47" s="20">
        <v>2</v>
      </c>
      <c r="H47" s="20">
        <f t="shared" si="15"/>
        <v>7</v>
      </c>
      <c r="I47" s="20">
        <f t="shared" si="15"/>
        <v>6</v>
      </c>
      <c r="J47" s="20">
        <f t="shared" si="16"/>
        <v>3</v>
      </c>
      <c r="K47" s="20">
        <f t="shared" si="16"/>
        <v>2</v>
      </c>
      <c r="L47" s="20" t="s">
        <v>116</v>
      </c>
      <c r="M47" s="20" t="s">
        <v>230</v>
      </c>
      <c r="N47" s="20"/>
    </row>
    <row r="48" spans="1:14">
      <c r="A48" s="20" t="s">
        <v>119</v>
      </c>
      <c r="B48" s="20">
        <v>4</v>
      </c>
      <c r="C48" s="20">
        <v>4</v>
      </c>
      <c r="D48" s="20">
        <v>3</v>
      </c>
      <c r="E48" s="20">
        <v>2</v>
      </c>
      <c r="F48" s="20">
        <v>3</v>
      </c>
      <c r="G48" s="20">
        <v>2</v>
      </c>
      <c r="H48" s="20">
        <f t="shared" ref="H48:H51" si="29">B48+F48</f>
        <v>7</v>
      </c>
      <c r="I48" s="20">
        <f t="shared" ref="I48:I51" si="30">C48+G48</f>
        <v>6</v>
      </c>
      <c r="J48" s="20">
        <f t="shared" ref="J48:J51" si="31">D48</f>
        <v>3</v>
      </c>
      <c r="K48" s="20">
        <f t="shared" ref="K48:K51" si="32">E48</f>
        <v>2</v>
      </c>
      <c r="L48" s="20" t="s">
        <v>238</v>
      </c>
      <c r="M48" s="20" t="s">
        <v>230</v>
      </c>
      <c r="N48" s="20"/>
    </row>
    <row r="49" spans="1:14">
      <c r="A49" s="20" t="s">
        <v>119</v>
      </c>
      <c r="B49" s="20">
        <v>4</v>
      </c>
      <c r="C49" s="20">
        <v>4</v>
      </c>
      <c r="D49" s="20">
        <v>3</v>
      </c>
      <c r="E49" s="20">
        <v>2</v>
      </c>
      <c r="F49" s="20">
        <v>3</v>
      </c>
      <c r="G49" s="20">
        <v>2</v>
      </c>
      <c r="H49" s="20">
        <f t="shared" si="29"/>
        <v>7</v>
      </c>
      <c r="I49" s="20">
        <f t="shared" si="30"/>
        <v>6</v>
      </c>
      <c r="J49" s="20">
        <f t="shared" si="31"/>
        <v>3</v>
      </c>
      <c r="K49" s="20">
        <f t="shared" si="32"/>
        <v>2</v>
      </c>
      <c r="L49" s="20" t="s">
        <v>237</v>
      </c>
      <c r="M49" s="20" t="s">
        <v>230</v>
      </c>
      <c r="N49" s="20"/>
    </row>
    <row r="50" spans="1:14">
      <c r="A50" s="20" t="s">
        <v>119</v>
      </c>
      <c r="B50" s="20">
        <v>4</v>
      </c>
      <c r="C50" s="20">
        <v>4</v>
      </c>
      <c r="D50" s="20">
        <v>3</v>
      </c>
      <c r="E50" s="20">
        <v>2</v>
      </c>
      <c r="F50" s="20">
        <v>3</v>
      </c>
      <c r="G50" s="20">
        <v>2</v>
      </c>
      <c r="H50" s="20">
        <f t="shared" si="29"/>
        <v>7</v>
      </c>
      <c r="I50" s="20">
        <f t="shared" si="30"/>
        <v>6</v>
      </c>
      <c r="J50" s="20">
        <f t="shared" si="31"/>
        <v>3</v>
      </c>
      <c r="K50" s="20">
        <f t="shared" si="32"/>
        <v>2</v>
      </c>
      <c r="L50" s="20" t="s">
        <v>239</v>
      </c>
      <c r="M50" s="20" t="s">
        <v>230</v>
      </c>
      <c r="N50" s="20"/>
    </row>
    <row r="51" spans="1:14">
      <c r="A51" s="20" t="s">
        <v>119</v>
      </c>
      <c r="B51" s="20">
        <v>4</v>
      </c>
      <c r="C51" s="20">
        <v>4</v>
      </c>
      <c r="D51" s="20">
        <v>3</v>
      </c>
      <c r="E51" s="20">
        <v>2</v>
      </c>
      <c r="F51" s="20">
        <v>3</v>
      </c>
      <c r="G51" s="20">
        <v>2</v>
      </c>
      <c r="H51" s="20">
        <f t="shared" si="29"/>
        <v>7</v>
      </c>
      <c r="I51" s="20">
        <f t="shared" si="30"/>
        <v>6</v>
      </c>
      <c r="J51" s="20">
        <f t="shared" si="31"/>
        <v>3</v>
      </c>
      <c r="K51" s="20">
        <f t="shared" si="32"/>
        <v>2</v>
      </c>
      <c r="L51" s="20" t="s">
        <v>240</v>
      </c>
      <c r="M51" s="20" t="s">
        <v>230</v>
      </c>
      <c r="N51" s="20"/>
    </row>
    <row r="52" spans="1:14">
      <c r="A52" s="20">
        <v>29</v>
      </c>
      <c r="B52" s="20">
        <v>3</v>
      </c>
      <c r="C52" s="20">
        <v>4</v>
      </c>
      <c r="D52" s="20">
        <v>3</v>
      </c>
      <c r="E52" s="20">
        <v>2</v>
      </c>
      <c r="F52" s="20">
        <v>3</v>
      </c>
      <c r="G52" s="20">
        <v>2</v>
      </c>
      <c r="H52" s="20">
        <f t="shared" si="15"/>
        <v>6</v>
      </c>
      <c r="I52" s="20">
        <f t="shared" si="15"/>
        <v>6</v>
      </c>
      <c r="J52" s="20">
        <f t="shared" si="16"/>
        <v>3</v>
      </c>
      <c r="K52" s="20">
        <f t="shared" si="16"/>
        <v>2</v>
      </c>
      <c r="L52" s="21" t="s">
        <v>241</v>
      </c>
      <c r="M52" s="20" t="s">
        <v>230</v>
      </c>
      <c r="N52" s="20"/>
    </row>
    <row r="53" spans="1:14">
      <c r="A53" s="20">
        <v>29</v>
      </c>
      <c r="B53" s="20">
        <v>3</v>
      </c>
      <c r="C53" s="20">
        <v>4</v>
      </c>
      <c r="D53" s="20">
        <v>3</v>
      </c>
      <c r="E53" s="20">
        <v>2</v>
      </c>
      <c r="F53" s="20">
        <v>3</v>
      </c>
      <c r="G53" s="20">
        <v>2</v>
      </c>
      <c r="H53" s="20">
        <f t="shared" ref="H53" si="33">B53+F53</f>
        <v>6</v>
      </c>
      <c r="I53" s="20">
        <f t="shared" ref="I53" si="34">C53+G53</f>
        <v>6</v>
      </c>
      <c r="J53" s="20">
        <f t="shared" ref="J53" si="35">D53</f>
        <v>3</v>
      </c>
      <c r="K53" s="20">
        <f t="shared" ref="K53" si="36">E53</f>
        <v>2</v>
      </c>
      <c r="L53" s="22" t="s">
        <v>253</v>
      </c>
      <c r="M53" s="20" t="s">
        <v>230</v>
      </c>
      <c r="N53" s="20"/>
    </row>
    <row r="54" spans="1:14">
      <c r="A54" s="20">
        <v>30</v>
      </c>
      <c r="B54" s="20">
        <v>3</v>
      </c>
      <c r="C54" s="20">
        <v>3</v>
      </c>
      <c r="D54" s="20">
        <v>4</v>
      </c>
      <c r="E54" s="20">
        <v>0</v>
      </c>
      <c r="F54" s="20">
        <v>3</v>
      </c>
      <c r="G54" s="20">
        <v>2</v>
      </c>
      <c r="H54" s="20">
        <f t="shared" si="15"/>
        <v>6</v>
      </c>
      <c r="I54" s="20">
        <f t="shared" si="15"/>
        <v>5</v>
      </c>
      <c r="J54" s="20">
        <f t="shared" si="16"/>
        <v>4</v>
      </c>
      <c r="K54" s="20">
        <f t="shared" si="16"/>
        <v>0</v>
      </c>
      <c r="L54" s="20" t="s">
        <v>118</v>
      </c>
      <c r="M54" s="20" t="s">
        <v>228</v>
      </c>
      <c r="N54" s="20" t="s">
        <v>234</v>
      </c>
    </row>
  </sheetData>
  <phoneticPr fontId="1"/>
  <pageMargins left="0.7" right="0.7" top="0.75" bottom="0.75" header="0.3" footer="0.3"/>
  <pageSetup paperSize="9" scale="4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C488-7E3C-DD44-BAF1-958050FA6A93}">
  <sheetPr>
    <pageSetUpPr fitToPage="1"/>
  </sheetPr>
  <dimension ref="A1:K52"/>
  <sheetViews>
    <sheetView workbookViewId="0">
      <selection activeCell="C66" sqref="C66"/>
    </sheetView>
  </sheetViews>
  <sheetFormatPr baseColWidth="10" defaultRowHeight="20"/>
  <cols>
    <col min="6" max="6" width="57" bestFit="1" customWidth="1"/>
    <col min="7" max="7" width="18" bestFit="1" customWidth="1"/>
    <col min="8" max="9" width="23.140625" bestFit="1" customWidth="1"/>
    <col min="10" max="10" width="21.5703125" bestFit="1" customWidth="1"/>
    <col min="11" max="11" width="21.85546875" bestFit="1" customWidth="1"/>
  </cols>
  <sheetData>
    <row r="1" spans="1:11">
      <c r="A1" s="26" t="s">
        <v>151</v>
      </c>
      <c r="B1" s="26" t="s">
        <v>152</v>
      </c>
      <c r="C1" s="26" t="s">
        <v>153</v>
      </c>
      <c r="D1" s="26" t="s">
        <v>157</v>
      </c>
      <c r="E1" s="26" t="s">
        <v>158</v>
      </c>
      <c r="F1" s="26" t="s">
        <v>154</v>
      </c>
      <c r="G1" s="26" t="s">
        <v>159</v>
      </c>
      <c r="H1" s="26" t="s">
        <v>160</v>
      </c>
      <c r="I1" s="26" t="s">
        <v>161</v>
      </c>
      <c r="J1" s="26" t="s">
        <v>254</v>
      </c>
      <c r="K1" s="26" t="s">
        <v>162</v>
      </c>
    </row>
    <row r="2" spans="1:11">
      <c r="A2" s="27">
        <v>1</v>
      </c>
      <c r="B2" s="27"/>
      <c r="C2" s="27">
        <v>849.86800000000005</v>
      </c>
      <c r="D2" s="27">
        <v>1698.7280000000001</v>
      </c>
      <c r="E2" s="27">
        <v>2E-3</v>
      </c>
      <c r="F2" s="27" t="s">
        <v>163</v>
      </c>
      <c r="G2" s="27" t="s">
        <v>164</v>
      </c>
      <c r="H2" s="27">
        <v>382000</v>
      </c>
      <c r="I2" s="27">
        <v>282000</v>
      </c>
      <c r="J2" s="28">
        <v>39</v>
      </c>
      <c r="K2" s="28">
        <v>37.799999999999997</v>
      </c>
    </row>
    <row r="3" spans="1:11">
      <c r="A3" s="27" t="s">
        <v>155</v>
      </c>
      <c r="B3" s="27"/>
      <c r="C3" s="27">
        <v>930.89499999999998</v>
      </c>
      <c r="D3" s="27">
        <v>1860.7819999999999</v>
      </c>
      <c r="E3" s="27">
        <v>4.0000000000000001E-3</v>
      </c>
      <c r="F3" s="27" t="s">
        <v>165</v>
      </c>
      <c r="G3" s="27" t="s">
        <v>166</v>
      </c>
      <c r="H3" s="27">
        <v>172000</v>
      </c>
      <c r="I3" s="27">
        <v>148000</v>
      </c>
      <c r="J3" s="28">
        <v>17.600000000000001</v>
      </c>
      <c r="K3" s="28">
        <v>19.899999999999999</v>
      </c>
    </row>
    <row r="4" spans="1:11">
      <c r="A4" s="27" t="s">
        <v>156</v>
      </c>
      <c r="B4" s="27"/>
      <c r="C4" s="27"/>
      <c r="D4" s="27"/>
      <c r="E4" s="27"/>
      <c r="F4" s="27"/>
      <c r="G4" s="27"/>
      <c r="H4" s="27">
        <v>120000</v>
      </c>
      <c r="I4" s="27">
        <v>73500</v>
      </c>
      <c r="J4" s="28">
        <v>12.3</v>
      </c>
      <c r="K4" s="28">
        <v>9.9</v>
      </c>
    </row>
    <row r="5" spans="1:11">
      <c r="A5" s="27">
        <v>3</v>
      </c>
      <c r="B5" s="27"/>
      <c r="C5" s="27">
        <v>1011.921</v>
      </c>
      <c r="D5" s="27">
        <v>2022.8340000000001</v>
      </c>
      <c r="E5" s="27">
        <v>3.0000000000000001E-3</v>
      </c>
      <c r="F5" s="27" t="s">
        <v>167</v>
      </c>
      <c r="G5" s="27" t="s">
        <v>168</v>
      </c>
      <c r="H5" s="27">
        <v>146000</v>
      </c>
      <c r="I5" s="27">
        <v>127000</v>
      </c>
      <c r="J5" s="28">
        <v>14.9</v>
      </c>
      <c r="K5" s="28">
        <v>17</v>
      </c>
    </row>
    <row r="6" spans="1:11">
      <c r="A6" s="27">
        <v>4</v>
      </c>
      <c r="B6" s="27"/>
      <c r="C6" s="27">
        <v>1092.9490000000001</v>
      </c>
      <c r="D6" s="27">
        <v>2184.89</v>
      </c>
      <c r="E6" s="27">
        <v>6.0000000000000001E-3</v>
      </c>
      <c r="F6" s="27" t="s">
        <v>169</v>
      </c>
      <c r="G6" s="27" t="s">
        <v>170</v>
      </c>
      <c r="H6" s="27">
        <v>159000</v>
      </c>
      <c r="I6" s="27">
        <v>115000</v>
      </c>
      <c r="J6" s="28">
        <v>16.2</v>
      </c>
      <c r="K6" s="28">
        <v>15.4</v>
      </c>
    </row>
    <row r="7" spans="1:11">
      <c r="A7" s="27">
        <v>5</v>
      </c>
      <c r="B7" s="27"/>
      <c r="C7" s="27">
        <v>1016.441</v>
      </c>
      <c r="D7" s="27">
        <v>2031.874</v>
      </c>
      <c r="E7" s="27">
        <v>6.0000000000000001E-3</v>
      </c>
      <c r="F7" s="27" t="s">
        <v>171</v>
      </c>
      <c r="G7" s="27" t="s">
        <v>172</v>
      </c>
      <c r="H7" s="27">
        <v>34000</v>
      </c>
      <c r="I7" s="27">
        <v>143000</v>
      </c>
      <c r="J7" s="28">
        <v>3.5</v>
      </c>
      <c r="K7" s="28">
        <v>19.2</v>
      </c>
    </row>
    <row r="8" spans="1:11">
      <c r="A8" s="27">
        <v>6</v>
      </c>
      <c r="B8" s="27"/>
      <c r="C8" s="27">
        <v>1097.4670000000001</v>
      </c>
      <c r="D8" s="27">
        <v>2193.9259999999999</v>
      </c>
      <c r="E8" s="27">
        <v>5.0000000000000001E-3</v>
      </c>
      <c r="F8" s="27" t="s">
        <v>173</v>
      </c>
      <c r="G8" s="27" t="s">
        <v>174</v>
      </c>
      <c r="H8" s="27">
        <v>37300</v>
      </c>
      <c r="I8" s="27">
        <v>85100</v>
      </c>
      <c r="J8" s="28">
        <v>3.8</v>
      </c>
      <c r="K8" s="28">
        <v>11.4</v>
      </c>
    </row>
    <row r="9" spans="1:11">
      <c r="A9" s="27">
        <v>7</v>
      </c>
      <c r="B9" s="27"/>
      <c r="C9" s="27">
        <v>882.89700000000005</v>
      </c>
      <c r="D9" s="27">
        <v>1764.7860000000001</v>
      </c>
      <c r="E9" s="27">
        <v>2E-3</v>
      </c>
      <c r="F9" s="27" t="s">
        <v>175</v>
      </c>
      <c r="G9" s="27" t="s">
        <v>176</v>
      </c>
      <c r="H9" s="27">
        <v>54000</v>
      </c>
      <c r="I9" s="27">
        <v>7150</v>
      </c>
      <c r="J9" s="28">
        <v>5.5</v>
      </c>
      <c r="K9" s="28">
        <v>1</v>
      </c>
    </row>
    <row r="10" spans="1:11">
      <c r="A10" s="27">
        <v>8</v>
      </c>
      <c r="B10" s="27"/>
      <c r="C10" s="27">
        <v>971.92100000000005</v>
      </c>
      <c r="D10" s="27">
        <v>1942.8340000000001</v>
      </c>
      <c r="E10" s="27">
        <v>2E-3</v>
      </c>
      <c r="F10" s="27" t="s">
        <v>177</v>
      </c>
      <c r="G10" s="27" t="s">
        <v>178</v>
      </c>
      <c r="H10" s="27">
        <v>74000</v>
      </c>
      <c r="I10" s="27">
        <v>0</v>
      </c>
      <c r="J10" s="28">
        <v>7.6</v>
      </c>
      <c r="K10" s="28">
        <v>0</v>
      </c>
    </row>
    <row r="11" spans="1:11">
      <c r="A11" s="27" t="s">
        <v>27</v>
      </c>
      <c r="B11" s="27"/>
      <c r="C11" s="27">
        <v>1036.954</v>
      </c>
      <c r="D11" s="27">
        <v>2072.9</v>
      </c>
      <c r="E11" s="27">
        <v>5.0000000000000001E-3</v>
      </c>
      <c r="F11" s="27" t="s">
        <v>179</v>
      </c>
      <c r="G11" s="27" t="s">
        <v>180</v>
      </c>
      <c r="H11" s="27">
        <v>43700</v>
      </c>
      <c r="I11" s="27">
        <v>0</v>
      </c>
      <c r="J11" s="28">
        <v>4.5</v>
      </c>
      <c r="K11" s="28">
        <v>0</v>
      </c>
    </row>
    <row r="12" spans="1:11">
      <c r="A12" s="27" t="s">
        <v>29</v>
      </c>
      <c r="B12" s="27"/>
      <c r="C12" s="27"/>
      <c r="D12" s="27"/>
      <c r="E12" s="27"/>
      <c r="F12" s="27"/>
      <c r="G12" s="27"/>
      <c r="H12" s="27">
        <v>0</v>
      </c>
      <c r="I12" s="27">
        <v>114000</v>
      </c>
      <c r="J12" s="28">
        <v>0</v>
      </c>
      <c r="K12" s="28">
        <v>15.3</v>
      </c>
    </row>
    <row r="13" spans="1:11">
      <c r="A13" s="27" t="s">
        <v>32</v>
      </c>
      <c r="B13" s="27"/>
      <c r="C13" s="27">
        <v>1044.95</v>
      </c>
      <c r="D13" s="27">
        <v>2088.8919999999998</v>
      </c>
      <c r="E13" s="27">
        <v>2E-3</v>
      </c>
      <c r="F13" s="27" t="s">
        <v>181</v>
      </c>
      <c r="G13" s="27" t="s">
        <v>182</v>
      </c>
      <c r="H13" s="27">
        <v>9480</v>
      </c>
      <c r="I13" s="27">
        <v>0</v>
      </c>
      <c r="J13" s="28">
        <v>1</v>
      </c>
      <c r="K13" s="28">
        <v>0</v>
      </c>
    </row>
    <row r="14" spans="1:11">
      <c r="A14" s="27" t="s">
        <v>39</v>
      </c>
      <c r="B14" s="27"/>
      <c r="C14" s="27"/>
      <c r="D14" s="27"/>
      <c r="E14" s="27"/>
      <c r="F14" s="27"/>
      <c r="G14" s="27"/>
      <c r="H14" s="27">
        <v>52100</v>
      </c>
      <c r="I14" s="27">
        <v>1140</v>
      </c>
      <c r="J14" s="28">
        <v>5.3</v>
      </c>
      <c r="K14" s="28">
        <v>0.2</v>
      </c>
    </row>
    <row r="15" spans="1:11">
      <c r="A15" s="27" t="s">
        <v>183</v>
      </c>
      <c r="B15" s="27"/>
      <c r="C15" s="27"/>
      <c r="D15" s="27"/>
      <c r="E15" s="27"/>
      <c r="F15" s="27"/>
      <c r="G15" s="27"/>
      <c r="H15" s="27">
        <v>21400</v>
      </c>
      <c r="I15" s="27">
        <v>848</v>
      </c>
      <c r="J15" s="28">
        <v>2.2000000000000002</v>
      </c>
      <c r="K15" s="28">
        <v>0.1</v>
      </c>
    </row>
    <row r="16" spans="1:11">
      <c r="A16" s="27" t="s">
        <v>128</v>
      </c>
      <c r="B16" s="27"/>
      <c r="C16" s="27"/>
      <c r="D16" s="27"/>
      <c r="E16" s="27"/>
      <c r="F16" s="27"/>
      <c r="G16" s="27"/>
      <c r="H16" s="27">
        <v>5360</v>
      </c>
      <c r="I16" s="27">
        <v>15500</v>
      </c>
      <c r="J16" s="28">
        <v>0.5</v>
      </c>
      <c r="K16" s="28">
        <v>2.1</v>
      </c>
    </row>
    <row r="17" spans="1:11">
      <c r="A17" s="27">
        <v>11</v>
      </c>
      <c r="B17" s="27"/>
      <c r="C17" s="27">
        <v>1191.01</v>
      </c>
      <c r="D17" s="27">
        <v>2381.0120000000002</v>
      </c>
      <c r="E17" s="27">
        <v>7.0000000000000001E-3</v>
      </c>
      <c r="F17" s="27" t="s">
        <v>184</v>
      </c>
      <c r="G17" s="27" t="s">
        <v>185</v>
      </c>
      <c r="H17" s="27">
        <v>8810</v>
      </c>
      <c r="I17" s="27">
        <v>119000</v>
      </c>
      <c r="J17" s="28">
        <v>0.9</v>
      </c>
      <c r="K17" s="28">
        <v>16</v>
      </c>
    </row>
    <row r="18" spans="1:11">
      <c r="A18" s="27" t="s">
        <v>186</v>
      </c>
      <c r="B18" s="27">
        <v>842.68700000000001</v>
      </c>
      <c r="C18" s="27"/>
      <c r="D18" s="27">
        <v>2526.0450000000001</v>
      </c>
      <c r="E18" s="27">
        <v>2E-3</v>
      </c>
      <c r="F18" s="27" t="s">
        <v>187</v>
      </c>
      <c r="G18" s="27" t="s">
        <v>188</v>
      </c>
      <c r="H18" s="27">
        <v>11400</v>
      </c>
      <c r="I18" s="27">
        <v>56200</v>
      </c>
      <c r="J18" s="28">
        <v>1.2</v>
      </c>
      <c r="K18" s="28">
        <v>7.5</v>
      </c>
    </row>
    <row r="19" spans="1:11">
      <c r="A19" s="27" t="s">
        <v>189</v>
      </c>
      <c r="B19" s="27"/>
      <c r="C19" s="27"/>
      <c r="D19" s="27"/>
      <c r="E19" s="27"/>
      <c r="F19" s="27"/>
      <c r="G19" s="27"/>
      <c r="H19" s="27">
        <v>8410</v>
      </c>
      <c r="I19" s="27">
        <v>19900</v>
      </c>
      <c r="J19" s="28">
        <v>0.9</v>
      </c>
      <c r="K19" s="28">
        <v>2.7</v>
      </c>
    </row>
    <row r="20" spans="1:11">
      <c r="A20" s="27" t="s">
        <v>190</v>
      </c>
      <c r="B20" s="27"/>
      <c r="C20" s="27"/>
      <c r="D20" s="27"/>
      <c r="E20" s="27"/>
      <c r="F20" s="27"/>
      <c r="G20" s="27"/>
      <c r="H20" s="27">
        <v>7330</v>
      </c>
      <c r="I20" s="27">
        <v>44000</v>
      </c>
      <c r="J20" s="28">
        <v>0.7</v>
      </c>
      <c r="K20" s="28">
        <v>5.9</v>
      </c>
    </row>
    <row r="21" spans="1:11">
      <c r="A21" s="27">
        <v>13</v>
      </c>
      <c r="B21" s="27">
        <v>939.71900000000005</v>
      </c>
      <c r="C21" s="27"/>
      <c r="D21" s="27">
        <v>2817.1410000000001</v>
      </c>
      <c r="E21" s="27">
        <v>3.0000000000000001E-3</v>
      </c>
      <c r="F21" s="27" t="s">
        <v>191</v>
      </c>
      <c r="G21" s="27" t="s">
        <v>192</v>
      </c>
      <c r="H21" s="27">
        <v>9340</v>
      </c>
      <c r="I21" s="27">
        <v>51300</v>
      </c>
      <c r="J21" s="28">
        <v>1</v>
      </c>
      <c r="K21" s="28">
        <v>6.9</v>
      </c>
    </row>
    <row r="22" spans="1:11">
      <c r="A22" s="27" t="s">
        <v>50</v>
      </c>
      <c r="B22" s="27">
        <v>988.06500000000005</v>
      </c>
      <c r="C22" s="27"/>
      <c r="D22" s="27">
        <v>2962.1790000000001</v>
      </c>
      <c r="E22" s="27">
        <v>3.0000000000000001E-3</v>
      </c>
      <c r="F22" s="27" t="s">
        <v>193</v>
      </c>
      <c r="G22" s="27" t="s">
        <v>194</v>
      </c>
      <c r="H22" s="27">
        <v>21900</v>
      </c>
      <c r="I22" s="27">
        <v>29200</v>
      </c>
      <c r="J22" s="28">
        <v>2.2000000000000002</v>
      </c>
      <c r="K22" s="28">
        <v>3.9</v>
      </c>
    </row>
    <row r="23" spans="1:11">
      <c r="A23" s="27" t="s">
        <v>53</v>
      </c>
      <c r="B23" s="27"/>
      <c r="C23" s="27"/>
      <c r="D23" s="27"/>
      <c r="E23" s="27"/>
      <c r="F23" s="27"/>
      <c r="G23" s="27"/>
      <c r="H23" s="27">
        <v>7350</v>
      </c>
      <c r="I23" s="27">
        <v>12200</v>
      </c>
      <c r="J23" s="28">
        <v>0.8</v>
      </c>
      <c r="K23" s="28">
        <v>1.6</v>
      </c>
    </row>
    <row r="24" spans="1:11">
      <c r="A24" s="27">
        <v>15</v>
      </c>
      <c r="B24" s="27">
        <v>1085.0989999999999</v>
      </c>
      <c r="C24" s="27"/>
      <c r="D24" s="27">
        <v>3253.2809999999999</v>
      </c>
      <c r="E24" s="27">
        <v>0.01</v>
      </c>
      <c r="F24" s="27" t="s">
        <v>195</v>
      </c>
      <c r="G24" s="27" t="s">
        <v>196</v>
      </c>
      <c r="H24" s="27">
        <v>16800</v>
      </c>
      <c r="I24" s="27">
        <v>20400</v>
      </c>
      <c r="J24" s="28">
        <v>1.7</v>
      </c>
      <c r="K24" s="28">
        <v>2.7</v>
      </c>
    </row>
    <row r="25" spans="1:11">
      <c r="A25" s="27">
        <v>16</v>
      </c>
      <c r="B25" s="27"/>
      <c r="C25" s="27">
        <v>984.43700000000001</v>
      </c>
      <c r="D25" s="27">
        <v>1967.866</v>
      </c>
      <c r="E25" s="27">
        <v>3.0000000000000001E-3</v>
      </c>
      <c r="F25" s="27" t="s">
        <v>197</v>
      </c>
      <c r="G25" s="27" t="s">
        <v>198</v>
      </c>
      <c r="H25" s="27">
        <v>89500</v>
      </c>
      <c r="I25" s="27">
        <v>0</v>
      </c>
      <c r="J25" s="28">
        <v>9.1</v>
      </c>
      <c r="K25" s="28">
        <v>0</v>
      </c>
    </row>
    <row r="26" spans="1:11">
      <c r="A26" s="27" t="s">
        <v>58</v>
      </c>
      <c r="B26" s="27"/>
      <c r="C26" s="27">
        <v>1065.463</v>
      </c>
      <c r="D26" s="27">
        <v>2129.9180000000001</v>
      </c>
      <c r="E26" s="27">
        <v>2E-3</v>
      </c>
      <c r="F26" s="27" t="s">
        <v>199</v>
      </c>
      <c r="G26" s="27" t="s">
        <v>200</v>
      </c>
      <c r="H26" s="27">
        <v>15100</v>
      </c>
      <c r="I26" s="27">
        <v>0</v>
      </c>
      <c r="J26" s="28">
        <v>1.5</v>
      </c>
      <c r="K26" s="28">
        <v>0</v>
      </c>
    </row>
    <row r="27" spans="1:11">
      <c r="A27" s="27" t="s">
        <v>59</v>
      </c>
      <c r="B27" s="27"/>
      <c r="C27" s="27"/>
      <c r="D27" s="27"/>
      <c r="E27" s="27"/>
      <c r="F27" s="27"/>
      <c r="G27" s="27"/>
      <c r="H27" s="27">
        <v>8610</v>
      </c>
      <c r="I27" s="27">
        <v>1840</v>
      </c>
      <c r="J27" s="28">
        <v>0.9</v>
      </c>
      <c r="K27" s="28">
        <v>0.2</v>
      </c>
    </row>
    <row r="28" spans="1:11">
      <c r="A28" s="27" t="s">
        <v>60</v>
      </c>
      <c r="B28" s="27"/>
      <c r="C28" s="27"/>
      <c r="D28" s="27"/>
      <c r="E28" s="27"/>
      <c r="F28" s="27"/>
      <c r="G28" s="27"/>
      <c r="H28" s="27">
        <v>7410</v>
      </c>
      <c r="I28" s="27">
        <v>0</v>
      </c>
      <c r="J28" s="28">
        <v>0.8</v>
      </c>
      <c r="K28" s="28">
        <v>0</v>
      </c>
    </row>
    <row r="29" spans="1:11">
      <c r="A29" s="27" t="s">
        <v>66</v>
      </c>
      <c r="B29" s="27"/>
      <c r="C29" s="27">
        <v>1138.4949999999999</v>
      </c>
      <c r="D29" s="27">
        <v>2275.982</v>
      </c>
      <c r="E29" s="27">
        <v>8.0000000000000002E-3</v>
      </c>
      <c r="F29" s="27" t="s">
        <v>201</v>
      </c>
      <c r="G29" s="27" t="s">
        <v>202</v>
      </c>
      <c r="H29" s="27">
        <v>124000</v>
      </c>
      <c r="I29" s="27">
        <v>0</v>
      </c>
      <c r="J29" s="28">
        <v>12.7</v>
      </c>
      <c r="K29" s="28">
        <v>0</v>
      </c>
    </row>
    <row r="30" spans="1:11">
      <c r="A30" s="27" t="s">
        <v>68</v>
      </c>
      <c r="B30" s="27"/>
      <c r="C30" s="27"/>
      <c r="D30" s="27"/>
      <c r="E30" s="27"/>
      <c r="F30" s="27"/>
      <c r="G30" s="27"/>
      <c r="H30" s="27">
        <v>5190</v>
      </c>
      <c r="I30" s="27">
        <v>7720</v>
      </c>
      <c r="J30" s="28">
        <v>0.5</v>
      </c>
      <c r="K30" s="28">
        <v>1</v>
      </c>
    </row>
    <row r="31" spans="1:11">
      <c r="A31" s="27" t="s">
        <v>73</v>
      </c>
      <c r="B31" s="27"/>
      <c r="C31" s="27"/>
      <c r="D31" s="27"/>
      <c r="E31" s="27"/>
      <c r="F31" s="27"/>
      <c r="G31" s="27"/>
      <c r="H31" s="27">
        <v>99500</v>
      </c>
      <c r="I31" s="27">
        <v>0</v>
      </c>
      <c r="J31" s="28">
        <v>10.199999999999999</v>
      </c>
      <c r="K31" s="28">
        <v>0</v>
      </c>
    </row>
    <row r="32" spans="1:11">
      <c r="A32" s="27" t="s">
        <v>75</v>
      </c>
      <c r="B32" s="27">
        <v>862.03499999999997</v>
      </c>
      <c r="C32" s="27"/>
      <c r="D32" s="27">
        <v>2584.0889999999999</v>
      </c>
      <c r="E32" s="27">
        <v>4.0000000000000001E-3</v>
      </c>
      <c r="F32" s="27" t="s">
        <v>203</v>
      </c>
      <c r="G32" s="27" t="s">
        <v>204</v>
      </c>
      <c r="H32" s="27">
        <v>4930</v>
      </c>
      <c r="I32" s="27">
        <v>28900</v>
      </c>
      <c r="J32" s="28">
        <v>0.5</v>
      </c>
      <c r="K32" s="28">
        <v>3.9</v>
      </c>
    </row>
    <row r="33" spans="1:11">
      <c r="A33" s="29" t="s">
        <v>255</v>
      </c>
      <c r="B33" s="27"/>
      <c r="C33" s="27"/>
      <c r="D33" s="27"/>
      <c r="E33" s="27"/>
      <c r="F33" s="27"/>
      <c r="G33" s="27"/>
      <c r="H33" s="27">
        <v>0</v>
      </c>
      <c r="I33" s="27">
        <v>20200</v>
      </c>
      <c r="J33" s="28">
        <v>0</v>
      </c>
      <c r="K33" s="28">
        <v>2.7</v>
      </c>
    </row>
    <row r="34" spans="1:11">
      <c r="A34" s="27">
        <v>20</v>
      </c>
      <c r="B34" s="27">
        <v>910.38099999999997</v>
      </c>
      <c r="C34" s="27"/>
      <c r="D34" s="27">
        <v>2729.127</v>
      </c>
      <c r="E34" s="27">
        <v>5.0000000000000001E-3</v>
      </c>
      <c r="F34" s="27" t="s">
        <v>205</v>
      </c>
      <c r="G34" s="27" t="s">
        <v>206</v>
      </c>
      <c r="H34" s="27">
        <v>1340</v>
      </c>
      <c r="I34" s="27">
        <v>28100</v>
      </c>
      <c r="J34" s="28">
        <v>0.1</v>
      </c>
      <c r="K34" s="28">
        <v>3.8</v>
      </c>
    </row>
    <row r="35" spans="1:11">
      <c r="A35" s="27">
        <v>21</v>
      </c>
      <c r="B35" s="27">
        <v>1013.086</v>
      </c>
      <c r="C35" s="27"/>
      <c r="D35" s="27">
        <v>3037.2420000000002</v>
      </c>
      <c r="E35" s="27">
        <v>8.9999999999999993E-3</v>
      </c>
      <c r="F35" s="27" t="s">
        <v>207</v>
      </c>
      <c r="G35" s="27" t="s">
        <v>208</v>
      </c>
      <c r="H35" s="27">
        <v>2880</v>
      </c>
      <c r="I35" s="27">
        <v>54800</v>
      </c>
      <c r="J35" s="28">
        <v>0.3</v>
      </c>
      <c r="K35" s="28">
        <v>7.4</v>
      </c>
    </row>
    <row r="36" spans="1:11">
      <c r="A36" s="27" t="s">
        <v>87</v>
      </c>
      <c r="B36" s="27">
        <v>1061.431</v>
      </c>
      <c r="C36" s="27"/>
      <c r="D36" s="27">
        <v>3182.277</v>
      </c>
      <c r="E36" s="27">
        <v>7.0000000000000001E-3</v>
      </c>
      <c r="F36" s="27" t="s">
        <v>209</v>
      </c>
      <c r="G36" s="27" t="s">
        <v>210</v>
      </c>
      <c r="H36" s="27">
        <v>5450</v>
      </c>
      <c r="I36" s="27">
        <v>7810</v>
      </c>
      <c r="J36" s="28">
        <v>0.6</v>
      </c>
      <c r="K36" s="28">
        <v>1</v>
      </c>
    </row>
    <row r="37" spans="1:11">
      <c r="A37" s="27" t="s">
        <v>88</v>
      </c>
      <c r="B37" s="27"/>
      <c r="C37" s="27"/>
      <c r="D37" s="27"/>
      <c r="E37" s="27"/>
      <c r="F37" s="27"/>
      <c r="G37" s="27"/>
      <c r="H37" s="27">
        <v>4720</v>
      </c>
      <c r="I37" s="27">
        <v>7550</v>
      </c>
      <c r="J37" s="28">
        <v>0.5</v>
      </c>
      <c r="K37" s="28">
        <v>1</v>
      </c>
    </row>
    <row r="38" spans="1:11">
      <c r="A38" s="27" t="s">
        <v>89</v>
      </c>
      <c r="B38" s="27"/>
      <c r="C38" s="27"/>
      <c r="D38" s="27"/>
      <c r="E38" s="27"/>
      <c r="F38" s="27"/>
      <c r="G38" s="27"/>
      <c r="H38" s="27">
        <v>8910</v>
      </c>
      <c r="I38" s="27">
        <v>10000</v>
      </c>
      <c r="J38" s="28">
        <v>0.9</v>
      </c>
      <c r="K38" s="28">
        <v>1.3</v>
      </c>
    </row>
    <row r="39" spans="1:11">
      <c r="A39" s="27" t="s">
        <v>90</v>
      </c>
      <c r="B39" s="27"/>
      <c r="C39" s="27"/>
      <c r="D39" s="27"/>
      <c r="E39" s="27"/>
      <c r="F39" s="27"/>
      <c r="G39" s="27"/>
      <c r="H39" s="27">
        <v>3350</v>
      </c>
      <c r="I39" s="27">
        <v>17300</v>
      </c>
      <c r="J39" s="28">
        <v>0.3</v>
      </c>
      <c r="K39" s="28">
        <v>2.2999999999999998</v>
      </c>
    </row>
    <row r="40" spans="1:11">
      <c r="A40" s="27" t="s">
        <v>93</v>
      </c>
      <c r="B40" s="27">
        <v>1158.4639999999999</v>
      </c>
      <c r="C40" s="27"/>
      <c r="D40" s="27">
        <v>3473.3760000000002</v>
      </c>
      <c r="E40" s="27">
        <v>0.01</v>
      </c>
      <c r="F40" s="27" t="s">
        <v>211</v>
      </c>
      <c r="G40" s="27" t="s">
        <v>212</v>
      </c>
      <c r="H40" s="27">
        <v>0</v>
      </c>
      <c r="I40" s="27">
        <v>3000</v>
      </c>
      <c r="J40" s="28">
        <v>0</v>
      </c>
      <c r="K40" s="28">
        <v>0.4</v>
      </c>
    </row>
    <row r="41" spans="1:11">
      <c r="A41" s="27" t="s">
        <v>94</v>
      </c>
      <c r="B41" s="27"/>
      <c r="C41" s="27"/>
      <c r="D41" s="27"/>
      <c r="E41" s="27"/>
      <c r="F41" s="27"/>
      <c r="G41" s="27"/>
      <c r="H41" s="27">
        <v>3830</v>
      </c>
      <c r="I41" s="27">
        <v>11000</v>
      </c>
      <c r="J41" s="28">
        <v>0.4</v>
      </c>
      <c r="K41" s="28">
        <v>1.5</v>
      </c>
    </row>
    <row r="42" spans="1:11">
      <c r="A42" s="27">
        <v>24</v>
      </c>
      <c r="B42" s="27"/>
      <c r="C42" s="27">
        <v>1167.0050000000001</v>
      </c>
      <c r="D42" s="27">
        <v>2333.002</v>
      </c>
      <c r="E42" s="27">
        <v>6.0000000000000001E-3</v>
      </c>
      <c r="F42" s="27" t="s">
        <v>213</v>
      </c>
      <c r="G42" s="27" t="s">
        <v>214</v>
      </c>
      <c r="H42" s="27">
        <v>5480</v>
      </c>
      <c r="I42" s="27">
        <v>0</v>
      </c>
      <c r="J42" s="28">
        <v>0.6</v>
      </c>
      <c r="K42" s="28">
        <v>0</v>
      </c>
    </row>
    <row r="43" spans="1:11">
      <c r="A43" s="27">
        <v>25</v>
      </c>
      <c r="B43" s="27">
        <v>929.72699999999998</v>
      </c>
      <c r="C43" s="27"/>
      <c r="D43" s="27">
        <v>2787.165</v>
      </c>
      <c r="E43" s="27">
        <v>1E-3</v>
      </c>
      <c r="F43" s="27" t="s">
        <v>215</v>
      </c>
      <c r="G43" s="27" t="s">
        <v>216</v>
      </c>
      <c r="H43" s="27">
        <v>25700</v>
      </c>
      <c r="I43" s="27">
        <v>0</v>
      </c>
      <c r="J43" s="28">
        <v>2.6</v>
      </c>
      <c r="K43" s="28">
        <v>0</v>
      </c>
    </row>
    <row r="44" spans="1:11">
      <c r="A44" s="27" t="s">
        <v>104</v>
      </c>
      <c r="B44" s="27">
        <v>1075.107</v>
      </c>
      <c r="C44" s="27"/>
      <c r="D44" s="27">
        <v>3223.3049999999998</v>
      </c>
      <c r="E44" s="27">
        <v>8.0000000000000002E-3</v>
      </c>
      <c r="F44" s="27" t="s">
        <v>217</v>
      </c>
      <c r="G44" s="27" t="s">
        <v>218</v>
      </c>
      <c r="H44" s="27">
        <v>5550</v>
      </c>
      <c r="I44" s="27">
        <v>0</v>
      </c>
      <c r="J44" s="28">
        <v>0.6</v>
      </c>
      <c r="K44" s="28">
        <v>0</v>
      </c>
    </row>
    <row r="45" spans="1:11">
      <c r="A45" s="27" t="s">
        <v>105</v>
      </c>
      <c r="B45" s="27"/>
      <c r="C45" s="27"/>
      <c r="D45" s="27"/>
      <c r="E45" s="27"/>
      <c r="F45" s="27"/>
      <c r="G45" s="27"/>
      <c r="H45" s="27">
        <v>4310</v>
      </c>
      <c r="I45" s="27">
        <v>1590</v>
      </c>
      <c r="J45" s="28">
        <v>0.4</v>
      </c>
      <c r="K45" s="28">
        <v>0.2</v>
      </c>
    </row>
    <row r="46" spans="1:11">
      <c r="A46" s="27">
        <v>27</v>
      </c>
      <c r="B46" s="27">
        <v>1183.4829999999999</v>
      </c>
      <c r="C46" s="27"/>
      <c r="D46" s="27">
        <v>3548.433</v>
      </c>
      <c r="E46" s="27">
        <v>0.01</v>
      </c>
      <c r="F46" s="27" t="s">
        <v>219</v>
      </c>
      <c r="G46" s="27" t="s">
        <v>220</v>
      </c>
      <c r="H46" s="27">
        <v>18900</v>
      </c>
      <c r="I46" s="27">
        <v>19400</v>
      </c>
      <c r="J46" s="28">
        <v>1.9</v>
      </c>
      <c r="K46" s="28">
        <v>2.6</v>
      </c>
    </row>
    <row r="47" spans="1:11">
      <c r="A47" s="27" t="s">
        <v>112</v>
      </c>
      <c r="B47" s="27">
        <v>1231.828</v>
      </c>
      <c r="C47" s="27"/>
      <c r="D47" s="27">
        <v>3693.4679999999998</v>
      </c>
      <c r="E47" s="27">
        <v>7.0000000000000001E-3</v>
      </c>
      <c r="F47" s="27" t="s">
        <v>221</v>
      </c>
      <c r="G47" s="27" t="s">
        <v>222</v>
      </c>
      <c r="H47" s="27">
        <v>2970</v>
      </c>
      <c r="I47" s="27">
        <v>0</v>
      </c>
      <c r="J47" s="28">
        <v>0.3</v>
      </c>
      <c r="K47" s="28">
        <v>0</v>
      </c>
    </row>
    <row r="48" spans="1:11">
      <c r="A48" s="27" t="s">
        <v>113</v>
      </c>
      <c r="B48" s="27"/>
      <c r="C48" s="27"/>
      <c r="D48" s="27"/>
      <c r="E48" s="27"/>
      <c r="F48" s="27"/>
      <c r="G48" s="27"/>
      <c r="H48" s="27">
        <v>9610</v>
      </c>
      <c r="I48" s="27">
        <v>11900</v>
      </c>
      <c r="J48" s="28">
        <v>1</v>
      </c>
      <c r="K48" s="28">
        <v>1.6</v>
      </c>
    </row>
    <row r="49" spans="1:11">
      <c r="A49" s="27" t="s">
        <v>114</v>
      </c>
      <c r="B49" s="27"/>
      <c r="C49" s="27"/>
      <c r="D49" s="27"/>
      <c r="E49" s="27"/>
      <c r="F49" s="27"/>
      <c r="G49" s="27"/>
      <c r="H49" s="27">
        <v>7070</v>
      </c>
      <c r="I49" s="27">
        <v>6590</v>
      </c>
      <c r="J49" s="28">
        <v>0.7</v>
      </c>
      <c r="K49" s="28">
        <v>0.9</v>
      </c>
    </row>
    <row r="50" spans="1:11">
      <c r="A50" s="27" t="s">
        <v>115</v>
      </c>
      <c r="B50" s="27"/>
      <c r="C50" s="27"/>
      <c r="D50" s="27"/>
      <c r="E50" s="27"/>
      <c r="F50" s="27"/>
      <c r="G50" s="27"/>
      <c r="H50" s="27">
        <v>8610</v>
      </c>
      <c r="I50" s="27">
        <v>9340</v>
      </c>
      <c r="J50" s="28">
        <v>0.9</v>
      </c>
      <c r="K50" s="28">
        <v>1.3</v>
      </c>
    </row>
    <row r="51" spans="1:11">
      <c r="A51" s="27">
        <v>29</v>
      </c>
      <c r="B51" s="27">
        <v>1177.81</v>
      </c>
      <c r="C51" s="27"/>
      <c r="D51" s="27">
        <v>3531.4140000000002</v>
      </c>
      <c r="E51" s="27">
        <v>6.0000000000000001E-3</v>
      </c>
      <c r="F51" s="27" t="s">
        <v>223</v>
      </c>
      <c r="G51" s="27" t="s">
        <v>224</v>
      </c>
      <c r="H51" s="27">
        <v>4170</v>
      </c>
      <c r="I51" s="27">
        <v>3960</v>
      </c>
      <c r="J51" s="28">
        <v>0.4</v>
      </c>
      <c r="K51" s="28">
        <v>0.5</v>
      </c>
    </row>
    <row r="52" spans="1:11">
      <c r="A52" s="27">
        <v>30</v>
      </c>
      <c r="B52" s="27">
        <v>964.73900000000003</v>
      </c>
      <c r="C52" s="27"/>
      <c r="D52" s="27">
        <v>2892.201</v>
      </c>
      <c r="E52" s="27">
        <v>6.0000000000000001E-3</v>
      </c>
      <c r="F52" s="27" t="s">
        <v>225</v>
      </c>
      <c r="G52" s="27" t="s">
        <v>226</v>
      </c>
      <c r="H52" s="27">
        <v>8460</v>
      </c>
      <c r="I52" s="27">
        <v>47400</v>
      </c>
      <c r="J52" s="28">
        <v>0.9</v>
      </c>
      <c r="K52" s="28">
        <v>6.4</v>
      </c>
    </row>
  </sheetData>
  <phoneticPr fontId="1"/>
  <pageMargins left="0.7" right="0.7" top="0.75" bottom="0.75" header="0.3" footer="0.3"/>
  <pageSetup paperSize="9" scale="4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8AB6-D7BB-DC42-B402-F08456F35719}">
  <dimension ref="A1:O70"/>
  <sheetViews>
    <sheetView workbookViewId="0">
      <pane ySplit="1" topLeftCell="A8" activePane="bottomLeft" state="frozen"/>
      <selection pane="bottomLeft" sqref="A1:XFD1048576"/>
    </sheetView>
  </sheetViews>
  <sheetFormatPr baseColWidth="10" defaultRowHeight="20"/>
  <cols>
    <col min="10" max="10" width="19.85546875" bestFit="1" customWidth="1"/>
    <col min="11" max="11" width="13.5703125" bestFit="1" customWidth="1"/>
    <col min="12" max="12" width="23" bestFit="1" customWidth="1"/>
  </cols>
  <sheetData>
    <row r="1" spans="1:14">
      <c r="A1" s="8"/>
      <c r="B1" s="8" t="s">
        <v>0</v>
      </c>
      <c r="C1" s="8" t="s">
        <v>11</v>
      </c>
      <c r="D1" s="8" t="s">
        <v>12</v>
      </c>
      <c r="E1" s="8" t="s">
        <v>44</v>
      </c>
      <c r="F1" s="8" t="s">
        <v>1</v>
      </c>
      <c r="G1" s="8" t="s">
        <v>2</v>
      </c>
      <c r="H1" s="8"/>
      <c r="I1" s="15" t="s">
        <v>14</v>
      </c>
      <c r="J1" s="15" t="s">
        <v>13</v>
      </c>
      <c r="K1" s="15" t="s">
        <v>15</v>
      </c>
      <c r="L1" s="15" t="s">
        <v>45</v>
      </c>
      <c r="M1" s="8"/>
    </row>
    <row r="2" spans="1:14">
      <c r="A2" s="9">
        <v>1</v>
      </c>
      <c r="B2" s="9">
        <v>3</v>
      </c>
      <c r="C2" s="9"/>
      <c r="D2" s="9"/>
      <c r="E2" s="9"/>
      <c r="F2" s="9">
        <v>3</v>
      </c>
      <c r="G2" s="9">
        <v>2</v>
      </c>
      <c r="H2" s="9"/>
      <c r="I2" s="9">
        <f>B2+F2</f>
        <v>6</v>
      </c>
      <c r="J2" s="9">
        <f>C2+G2</f>
        <v>2</v>
      </c>
      <c r="K2" s="9">
        <f>D2</f>
        <v>0</v>
      </c>
      <c r="L2" s="9">
        <f>E2</f>
        <v>0</v>
      </c>
      <c r="M2" s="9" t="s">
        <v>6</v>
      </c>
    </row>
    <row r="3" spans="1:1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 t="s">
        <v>7</v>
      </c>
    </row>
    <row r="4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131</v>
      </c>
    </row>
    <row r="5" spans="1:14">
      <c r="A5" s="9" t="s">
        <v>130</v>
      </c>
      <c r="B5" s="9">
        <v>4</v>
      </c>
      <c r="C5" s="9"/>
      <c r="D5" s="9"/>
      <c r="E5" s="9"/>
      <c r="F5" s="9">
        <v>3</v>
      </c>
      <c r="G5" s="9">
        <v>2</v>
      </c>
      <c r="H5" s="9"/>
      <c r="I5" s="9">
        <f>B5+F5</f>
        <v>7</v>
      </c>
      <c r="J5" s="9">
        <f>C5+G5</f>
        <v>2</v>
      </c>
      <c r="K5" s="9">
        <f>D5</f>
        <v>0</v>
      </c>
      <c r="L5" s="9">
        <f t="shared" ref="L5:L65" si="0">E5</f>
        <v>0</v>
      </c>
      <c r="M5" s="9" t="s">
        <v>3</v>
      </c>
    </row>
    <row r="6" spans="1:1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 t="s">
        <v>4</v>
      </c>
    </row>
    <row r="7" spans="1:1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1" t="s">
        <v>5</v>
      </c>
    </row>
    <row r="8" spans="1:14">
      <c r="A8" s="9"/>
      <c r="B8" s="9"/>
      <c r="C8" s="9"/>
      <c r="D8" s="9"/>
      <c r="E8" s="9"/>
      <c r="F8" s="9"/>
      <c r="G8" s="9"/>
      <c r="H8" s="9"/>
      <c r="I8" s="10"/>
      <c r="J8" s="10"/>
      <c r="K8" s="10"/>
      <c r="L8" s="10"/>
      <c r="M8" s="12" t="s">
        <v>132</v>
      </c>
    </row>
    <row r="9" spans="1:14">
      <c r="A9" s="13">
        <v>3</v>
      </c>
      <c r="B9" s="13">
        <v>5</v>
      </c>
      <c r="C9" s="13"/>
      <c r="D9" s="13"/>
      <c r="E9" s="13"/>
      <c r="F9" s="13">
        <v>3</v>
      </c>
      <c r="G9" s="13">
        <v>2</v>
      </c>
      <c r="H9" s="13"/>
      <c r="I9" s="9">
        <f>B9+F9</f>
        <v>8</v>
      </c>
      <c r="J9" s="9">
        <f>C9+G9</f>
        <v>2</v>
      </c>
      <c r="K9" s="9">
        <f>D9</f>
        <v>0</v>
      </c>
      <c r="L9" s="9">
        <f t="shared" si="0"/>
        <v>0</v>
      </c>
      <c r="M9" s="11" t="s">
        <v>8</v>
      </c>
    </row>
    <row r="10" spans="1:1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2" t="s">
        <v>9</v>
      </c>
    </row>
    <row r="11" spans="1:14">
      <c r="A11" s="14">
        <v>4</v>
      </c>
      <c r="B11" s="14">
        <v>6</v>
      </c>
      <c r="C11" s="10"/>
      <c r="D11" s="10"/>
      <c r="E11" s="10"/>
      <c r="F11" s="10">
        <v>3</v>
      </c>
      <c r="G11" s="10">
        <v>2</v>
      </c>
      <c r="H11" s="10"/>
      <c r="I11" s="10">
        <f t="shared" ref="I11:I51" si="1">B11+F11</f>
        <v>9</v>
      </c>
      <c r="J11" s="10">
        <f t="shared" ref="J11:J51" si="2">C11+G11</f>
        <v>2</v>
      </c>
      <c r="K11" s="10">
        <f t="shared" ref="K11:K51" si="3">D11</f>
        <v>0</v>
      </c>
      <c r="L11" s="14">
        <f t="shared" si="0"/>
        <v>0</v>
      </c>
      <c r="M11" s="12" t="s">
        <v>10</v>
      </c>
    </row>
    <row r="12" spans="1:14">
      <c r="A12">
        <v>5</v>
      </c>
      <c r="B12">
        <v>2</v>
      </c>
      <c r="C12">
        <v>1</v>
      </c>
      <c r="D12">
        <v>2</v>
      </c>
      <c r="F12">
        <v>3</v>
      </c>
      <c r="G12">
        <v>2</v>
      </c>
      <c r="I12">
        <f t="shared" si="1"/>
        <v>5</v>
      </c>
      <c r="J12">
        <f t="shared" si="2"/>
        <v>3</v>
      </c>
      <c r="K12">
        <f t="shared" si="3"/>
        <v>2</v>
      </c>
      <c r="L12">
        <f t="shared" si="0"/>
        <v>0</v>
      </c>
      <c r="M12" s="1" t="s">
        <v>16</v>
      </c>
    </row>
    <row r="13" spans="1:14">
      <c r="A13" s="3"/>
      <c r="B13" s="3"/>
      <c r="C13" s="3"/>
      <c r="D13" s="3"/>
      <c r="E13" s="3"/>
      <c r="F13" s="3"/>
      <c r="G13" s="3"/>
      <c r="H13" s="3"/>
      <c r="I13" s="3">
        <f t="shared" si="1"/>
        <v>0</v>
      </c>
      <c r="J13" s="3">
        <f t="shared" si="2"/>
        <v>0</v>
      </c>
      <c r="K13" s="3">
        <f t="shared" si="3"/>
        <v>0</v>
      </c>
      <c r="L13">
        <f t="shared" si="0"/>
        <v>0</v>
      </c>
      <c r="M13" s="4" t="s">
        <v>17</v>
      </c>
    </row>
    <row r="14" spans="1:14">
      <c r="A14" s="6">
        <v>6</v>
      </c>
      <c r="B14" s="6">
        <v>3</v>
      </c>
      <c r="C14" s="6">
        <v>1</v>
      </c>
      <c r="D14" s="6">
        <v>2</v>
      </c>
      <c r="E14" s="6"/>
      <c r="F14" s="6">
        <v>3</v>
      </c>
      <c r="G14" s="6">
        <v>2</v>
      </c>
      <c r="H14" s="6"/>
      <c r="I14" s="6">
        <f t="shared" si="1"/>
        <v>6</v>
      </c>
      <c r="J14" s="6">
        <f t="shared" si="2"/>
        <v>3</v>
      </c>
      <c r="K14" s="6">
        <f t="shared" si="3"/>
        <v>2</v>
      </c>
      <c r="L14">
        <f t="shared" si="0"/>
        <v>0</v>
      </c>
      <c r="M14" s="7" t="s">
        <v>18</v>
      </c>
    </row>
    <row r="15" spans="1:14">
      <c r="A15">
        <v>7</v>
      </c>
      <c r="C15">
        <v>2</v>
      </c>
      <c r="D15">
        <v>1</v>
      </c>
      <c r="F15">
        <v>3</v>
      </c>
      <c r="G15">
        <v>2</v>
      </c>
      <c r="I15">
        <f t="shared" si="1"/>
        <v>3</v>
      </c>
      <c r="J15">
        <f t="shared" si="2"/>
        <v>4</v>
      </c>
      <c r="K15">
        <f t="shared" si="3"/>
        <v>1</v>
      </c>
      <c r="L15">
        <f t="shared" si="0"/>
        <v>0</v>
      </c>
      <c r="M15" s="1" t="s">
        <v>19</v>
      </c>
    </row>
    <row r="16" spans="1:14">
      <c r="A16" s="3"/>
      <c r="B16" s="3"/>
      <c r="C16" s="3"/>
      <c r="D16" s="3"/>
      <c r="E16" s="3"/>
      <c r="F16" s="3"/>
      <c r="G16" s="3"/>
      <c r="H16" s="3"/>
      <c r="I16" s="3">
        <f t="shared" si="1"/>
        <v>0</v>
      </c>
      <c r="J16" s="3">
        <f t="shared" si="2"/>
        <v>0</v>
      </c>
      <c r="K16" s="3">
        <f t="shared" si="3"/>
        <v>0</v>
      </c>
      <c r="L16">
        <f t="shared" si="0"/>
        <v>0</v>
      </c>
      <c r="M16" s="4" t="s">
        <v>20</v>
      </c>
      <c r="N16" t="s">
        <v>21</v>
      </c>
    </row>
    <row r="17" spans="1:14">
      <c r="A17">
        <v>8</v>
      </c>
      <c r="B17">
        <v>2</v>
      </c>
      <c r="C17">
        <v>2</v>
      </c>
      <c r="F17">
        <v>3</v>
      </c>
      <c r="G17">
        <v>2</v>
      </c>
      <c r="I17">
        <f t="shared" si="1"/>
        <v>5</v>
      </c>
      <c r="J17">
        <f t="shared" si="2"/>
        <v>4</v>
      </c>
      <c r="K17">
        <f t="shared" si="3"/>
        <v>0</v>
      </c>
      <c r="L17">
        <f t="shared" si="0"/>
        <v>0</v>
      </c>
      <c r="M17" s="1" t="s">
        <v>22</v>
      </c>
    </row>
    <row r="18" spans="1:14">
      <c r="I18">
        <f t="shared" si="1"/>
        <v>0</v>
      </c>
      <c r="J18">
        <f t="shared" si="2"/>
        <v>0</v>
      </c>
      <c r="K18">
        <f t="shared" si="3"/>
        <v>0</v>
      </c>
      <c r="L18">
        <f t="shared" si="0"/>
        <v>0</v>
      </c>
      <c r="M18" s="1" t="s">
        <v>23</v>
      </c>
    </row>
    <row r="19" spans="1:14">
      <c r="I19">
        <f t="shared" si="1"/>
        <v>0</v>
      </c>
      <c r="J19">
        <f t="shared" si="2"/>
        <v>0</v>
      </c>
      <c r="K19">
        <f t="shared" si="3"/>
        <v>0</v>
      </c>
      <c r="L19">
        <f t="shared" si="0"/>
        <v>0</v>
      </c>
      <c r="M19" s="1" t="s">
        <v>24</v>
      </c>
    </row>
    <row r="20" spans="1:14">
      <c r="A20" s="3"/>
      <c r="B20" s="3"/>
      <c r="C20" s="3"/>
      <c r="D20" s="3"/>
      <c r="E20" s="3"/>
      <c r="F20" s="3"/>
      <c r="G20" s="3"/>
      <c r="H20" s="3"/>
      <c r="I20" s="3">
        <f t="shared" si="1"/>
        <v>0</v>
      </c>
      <c r="J20" s="3">
        <f t="shared" si="2"/>
        <v>0</v>
      </c>
      <c r="K20" s="3">
        <f t="shared" si="3"/>
        <v>0</v>
      </c>
      <c r="L20">
        <f t="shared" si="0"/>
        <v>0</v>
      </c>
      <c r="M20" s="4" t="s">
        <v>25</v>
      </c>
    </row>
    <row r="21" spans="1:14">
      <c r="A21" t="s">
        <v>28</v>
      </c>
      <c r="B21">
        <v>1</v>
      </c>
      <c r="C21">
        <v>2</v>
      </c>
      <c r="D21">
        <v>2</v>
      </c>
      <c r="F21">
        <v>3</v>
      </c>
      <c r="G21">
        <v>2</v>
      </c>
      <c r="I21">
        <f t="shared" si="1"/>
        <v>4</v>
      </c>
      <c r="J21">
        <f t="shared" si="2"/>
        <v>4</v>
      </c>
      <c r="K21">
        <f t="shared" si="3"/>
        <v>2</v>
      </c>
      <c r="L21">
        <f t="shared" si="0"/>
        <v>0</v>
      </c>
      <c r="M21" s="1" t="s">
        <v>26</v>
      </c>
    </row>
    <row r="22" spans="1:14">
      <c r="A22" s="3" t="s">
        <v>30</v>
      </c>
      <c r="B22" s="3"/>
      <c r="C22" s="3"/>
      <c r="D22" s="3"/>
      <c r="E22" s="3"/>
      <c r="F22" s="3"/>
      <c r="G22" s="3"/>
      <c r="H22" s="3"/>
      <c r="I22" s="3">
        <f t="shared" si="1"/>
        <v>0</v>
      </c>
      <c r="J22" s="3">
        <f t="shared" si="2"/>
        <v>0</v>
      </c>
      <c r="K22" s="3">
        <f t="shared" si="3"/>
        <v>0</v>
      </c>
      <c r="L22">
        <f t="shared" si="0"/>
        <v>0</v>
      </c>
      <c r="M22" s="4" t="s">
        <v>31</v>
      </c>
    </row>
    <row r="23" spans="1:14">
      <c r="A23" t="s">
        <v>127</v>
      </c>
      <c r="B23">
        <v>2</v>
      </c>
      <c r="C23">
        <v>2</v>
      </c>
      <c r="D23">
        <v>1</v>
      </c>
      <c r="F23">
        <v>3</v>
      </c>
      <c r="G23">
        <v>2</v>
      </c>
      <c r="I23">
        <f t="shared" si="1"/>
        <v>5</v>
      </c>
      <c r="J23">
        <f t="shared" si="2"/>
        <v>4</v>
      </c>
      <c r="K23">
        <f t="shared" si="3"/>
        <v>1</v>
      </c>
      <c r="L23">
        <f t="shared" si="0"/>
        <v>0</v>
      </c>
      <c r="N23" s="1" t="s">
        <v>38</v>
      </c>
    </row>
    <row r="24" spans="1:14">
      <c r="A24" t="s">
        <v>129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0"/>
        <v>0</v>
      </c>
      <c r="M24" t="s">
        <v>33</v>
      </c>
    </row>
    <row r="25" spans="1:14">
      <c r="I25">
        <f t="shared" si="1"/>
        <v>0</v>
      </c>
      <c r="J25">
        <f t="shared" si="2"/>
        <v>0</v>
      </c>
      <c r="K25">
        <f t="shared" si="3"/>
        <v>0</v>
      </c>
      <c r="L25">
        <f t="shared" si="0"/>
        <v>0</v>
      </c>
      <c r="M25" t="s">
        <v>34</v>
      </c>
    </row>
    <row r="26" spans="1:14">
      <c r="I26">
        <f t="shared" si="1"/>
        <v>0</v>
      </c>
      <c r="J26">
        <f t="shared" si="2"/>
        <v>0</v>
      </c>
      <c r="K26">
        <f t="shared" si="3"/>
        <v>0</v>
      </c>
      <c r="L26">
        <f t="shared" si="0"/>
        <v>0</v>
      </c>
      <c r="M26" t="s">
        <v>35</v>
      </c>
    </row>
    <row r="27" spans="1:14">
      <c r="I27">
        <f t="shared" si="1"/>
        <v>0</v>
      </c>
      <c r="J27">
        <f t="shared" si="2"/>
        <v>0</v>
      </c>
      <c r="K27">
        <f t="shared" si="3"/>
        <v>0</v>
      </c>
      <c r="L27">
        <f t="shared" si="0"/>
        <v>0</v>
      </c>
      <c r="M27" t="s">
        <v>36</v>
      </c>
    </row>
    <row r="28" spans="1:14">
      <c r="A28" s="3"/>
      <c r="B28" s="3"/>
      <c r="C28" s="3"/>
      <c r="D28" s="3"/>
      <c r="E28" s="3"/>
      <c r="F28" s="3"/>
      <c r="G28" s="3"/>
      <c r="H28" s="3"/>
      <c r="I28" s="3">
        <f t="shared" si="1"/>
        <v>0</v>
      </c>
      <c r="J28" s="3">
        <f t="shared" si="2"/>
        <v>0</v>
      </c>
      <c r="K28" s="3">
        <f t="shared" si="3"/>
        <v>0</v>
      </c>
      <c r="L28">
        <f t="shared" si="0"/>
        <v>0</v>
      </c>
      <c r="M28" s="3" t="s">
        <v>37</v>
      </c>
    </row>
    <row r="29" spans="1:14">
      <c r="A29">
        <v>11</v>
      </c>
      <c r="B29">
        <v>2</v>
      </c>
      <c r="C29">
        <v>2</v>
      </c>
      <c r="D29">
        <v>3</v>
      </c>
      <c r="F29">
        <v>3</v>
      </c>
      <c r="G29">
        <v>2</v>
      </c>
      <c r="I29">
        <f t="shared" si="1"/>
        <v>5</v>
      </c>
      <c r="J29">
        <f t="shared" si="2"/>
        <v>4</v>
      </c>
      <c r="K29">
        <f t="shared" si="3"/>
        <v>3</v>
      </c>
      <c r="L29">
        <f t="shared" si="0"/>
        <v>0</v>
      </c>
      <c r="M29" t="s">
        <v>40</v>
      </c>
    </row>
    <row r="30" spans="1:14">
      <c r="I30">
        <f t="shared" si="1"/>
        <v>0</v>
      </c>
      <c r="J30">
        <f t="shared" si="2"/>
        <v>0</v>
      </c>
      <c r="K30">
        <f t="shared" si="3"/>
        <v>0</v>
      </c>
      <c r="L30">
        <f t="shared" si="0"/>
        <v>0</v>
      </c>
      <c r="M30" t="s">
        <v>41</v>
      </c>
      <c r="N30" t="s">
        <v>21</v>
      </c>
    </row>
    <row r="31" spans="1:14">
      <c r="I31">
        <f t="shared" si="1"/>
        <v>0</v>
      </c>
      <c r="J31">
        <f t="shared" si="2"/>
        <v>0</v>
      </c>
      <c r="K31">
        <f t="shared" si="3"/>
        <v>0</v>
      </c>
      <c r="L31">
        <f t="shared" si="0"/>
        <v>0</v>
      </c>
      <c r="M31" t="s">
        <v>42</v>
      </c>
      <c r="N31" t="s">
        <v>21</v>
      </c>
    </row>
    <row r="32" spans="1:14">
      <c r="A32" s="3"/>
      <c r="B32" s="3"/>
      <c r="C32" s="3"/>
      <c r="D32" s="3"/>
      <c r="E32" s="3"/>
      <c r="F32" s="3"/>
      <c r="G32" s="3"/>
      <c r="H32" s="3"/>
      <c r="I32" s="3">
        <f t="shared" si="1"/>
        <v>0</v>
      </c>
      <c r="J32" s="3">
        <f t="shared" si="2"/>
        <v>0</v>
      </c>
      <c r="K32" s="3">
        <f t="shared" si="3"/>
        <v>0</v>
      </c>
      <c r="L32">
        <f t="shared" si="0"/>
        <v>0</v>
      </c>
      <c r="M32" s="3"/>
      <c r="N32" s="1" t="s">
        <v>43</v>
      </c>
    </row>
    <row r="33" spans="1:14">
      <c r="A33" t="s">
        <v>126</v>
      </c>
      <c r="B33">
        <v>2</v>
      </c>
      <c r="C33">
        <v>2</v>
      </c>
      <c r="D33">
        <v>2</v>
      </c>
      <c r="E33">
        <v>1</v>
      </c>
      <c r="F33">
        <v>3</v>
      </c>
      <c r="G33">
        <v>2</v>
      </c>
      <c r="I33">
        <f t="shared" si="1"/>
        <v>5</v>
      </c>
      <c r="J33">
        <f t="shared" si="2"/>
        <v>4</v>
      </c>
      <c r="K33">
        <f t="shared" si="3"/>
        <v>2</v>
      </c>
      <c r="L33">
        <f t="shared" si="0"/>
        <v>1</v>
      </c>
      <c r="M33" t="s">
        <v>46</v>
      </c>
    </row>
    <row r="34" spans="1:14">
      <c r="A34" s="3"/>
      <c r="B34" s="3"/>
      <c r="C34" s="3"/>
      <c r="D34" s="3"/>
      <c r="E34" s="3"/>
      <c r="F34" s="3"/>
      <c r="G34" s="3"/>
      <c r="H34" s="3"/>
      <c r="I34" s="3">
        <f t="shared" si="1"/>
        <v>0</v>
      </c>
      <c r="J34" s="3">
        <f t="shared" si="2"/>
        <v>0</v>
      </c>
      <c r="K34" s="3">
        <f t="shared" si="3"/>
        <v>0</v>
      </c>
      <c r="L34" s="3">
        <f t="shared" si="0"/>
        <v>0</v>
      </c>
      <c r="M34" s="3" t="s">
        <v>47</v>
      </c>
      <c r="N34" t="s">
        <v>48</v>
      </c>
    </row>
    <row r="35" spans="1:14">
      <c r="A35" s="6">
        <v>13</v>
      </c>
      <c r="B35" s="6">
        <v>2</v>
      </c>
      <c r="C35" s="6">
        <v>2</v>
      </c>
      <c r="D35" s="6">
        <v>2</v>
      </c>
      <c r="E35" s="6">
        <v>2</v>
      </c>
      <c r="F35" s="6">
        <v>3</v>
      </c>
      <c r="G35" s="6">
        <v>2</v>
      </c>
      <c r="H35" s="6"/>
      <c r="I35" s="6">
        <f t="shared" si="1"/>
        <v>5</v>
      </c>
      <c r="J35" s="6">
        <f t="shared" si="2"/>
        <v>4</v>
      </c>
      <c r="K35" s="6">
        <f t="shared" si="3"/>
        <v>2</v>
      </c>
      <c r="L35" s="6">
        <f t="shared" si="0"/>
        <v>2</v>
      </c>
      <c r="M35" s="6" t="s">
        <v>49</v>
      </c>
    </row>
    <row r="36" spans="1:14">
      <c r="A36" t="s">
        <v>125</v>
      </c>
      <c r="B36">
        <v>2</v>
      </c>
      <c r="C36">
        <v>2</v>
      </c>
      <c r="D36">
        <v>1</v>
      </c>
      <c r="E36">
        <v>3</v>
      </c>
      <c r="F36">
        <v>3</v>
      </c>
      <c r="G36">
        <v>2</v>
      </c>
      <c r="I36">
        <f t="shared" si="1"/>
        <v>5</v>
      </c>
      <c r="J36">
        <f t="shared" si="2"/>
        <v>4</v>
      </c>
      <c r="K36">
        <f t="shared" si="3"/>
        <v>1</v>
      </c>
      <c r="L36">
        <f t="shared" si="0"/>
        <v>3</v>
      </c>
      <c r="M36" t="s">
        <v>51</v>
      </c>
      <c r="N36" t="s">
        <v>52</v>
      </c>
    </row>
    <row r="37" spans="1:14">
      <c r="A37" s="3"/>
      <c r="B37" s="3"/>
      <c r="C37" s="3"/>
      <c r="D37" s="3"/>
      <c r="E37" s="3"/>
      <c r="F37" s="3"/>
      <c r="G37" s="3"/>
      <c r="H37" s="3"/>
      <c r="I37" s="3">
        <f t="shared" si="1"/>
        <v>0</v>
      </c>
      <c r="J37" s="3">
        <f t="shared" si="2"/>
        <v>0</v>
      </c>
      <c r="K37" s="3">
        <f t="shared" si="3"/>
        <v>0</v>
      </c>
      <c r="L37" s="3">
        <f t="shared" si="0"/>
        <v>0</v>
      </c>
      <c r="M37" s="3"/>
    </row>
    <row r="38" spans="1:14">
      <c r="A38" s="6">
        <v>15</v>
      </c>
      <c r="B38" s="6">
        <v>2</v>
      </c>
      <c r="C38" s="6">
        <v>2</v>
      </c>
      <c r="D38" s="6">
        <v>1</v>
      </c>
      <c r="E38" s="6">
        <v>4</v>
      </c>
      <c r="F38" s="6">
        <v>3</v>
      </c>
      <c r="G38" s="6">
        <v>2</v>
      </c>
      <c r="H38" s="6"/>
      <c r="I38" s="6">
        <f t="shared" si="1"/>
        <v>5</v>
      </c>
      <c r="J38" s="6">
        <f t="shared" si="2"/>
        <v>4</v>
      </c>
      <c r="K38" s="6">
        <f t="shared" si="3"/>
        <v>1</v>
      </c>
      <c r="L38" s="6">
        <f t="shared" si="0"/>
        <v>4</v>
      </c>
      <c r="M38" s="6"/>
      <c r="N38" t="s">
        <v>54</v>
      </c>
    </row>
    <row r="39" spans="1:14">
      <c r="A39">
        <v>16</v>
      </c>
      <c r="C39">
        <v>3</v>
      </c>
      <c r="D39">
        <v>1</v>
      </c>
      <c r="F39">
        <v>3</v>
      </c>
      <c r="G39">
        <v>2</v>
      </c>
      <c r="I39">
        <f t="shared" si="1"/>
        <v>3</v>
      </c>
      <c r="J39">
        <f t="shared" si="2"/>
        <v>5</v>
      </c>
      <c r="K39">
        <f t="shared" si="3"/>
        <v>1</v>
      </c>
      <c r="L39">
        <f t="shared" si="0"/>
        <v>0</v>
      </c>
      <c r="M39" t="s">
        <v>55</v>
      </c>
    </row>
    <row r="40" spans="1:14">
      <c r="A40" s="3"/>
      <c r="B40" s="3"/>
      <c r="C40" s="3"/>
      <c r="D40" s="3"/>
      <c r="E40" s="3"/>
      <c r="F40" s="3"/>
      <c r="G40" s="3"/>
      <c r="H40" s="3"/>
      <c r="I40" s="3">
        <f t="shared" si="1"/>
        <v>0</v>
      </c>
      <c r="J40" s="3">
        <f t="shared" si="2"/>
        <v>0</v>
      </c>
      <c r="K40" s="3">
        <f t="shared" si="3"/>
        <v>0</v>
      </c>
      <c r="L40" s="3">
        <f t="shared" si="0"/>
        <v>0</v>
      </c>
      <c r="M40" s="3" t="s">
        <v>56</v>
      </c>
      <c r="N40" t="s">
        <v>57</v>
      </c>
    </row>
    <row r="41" spans="1:14">
      <c r="A41" t="s">
        <v>124</v>
      </c>
      <c r="B41">
        <v>1</v>
      </c>
      <c r="C41">
        <v>3</v>
      </c>
      <c r="D41">
        <v>1</v>
      </c>
      <c r="F41">
        <v>3</v>
      </c>
      <c r="G41">
        <v>2</v>
      </c>
      <c r="I41">
        <f t="shared" si="1"/>
        <v>4</v>
      </c>
      <c r="J41">
        <f t="shared" si="2"/>
        <v>5</v>
      </c>
      <c r="K41">
        <f t="shared" si="3"/>
        <v>1</v>
      </c>
      <c r="L41">
        <f t="shared" si="0"/>
        <v>0</v>
      </c>
      <c r="M41" t="s">
        <v>61</v>
      </c>
      <c r="N41" t="s">
        <v>62</v>
      </c>
    </row>
    <row r="42" spans="1:14">
      <c r="I42">
        <f t="shared" si="1"/>
        <v>0</v>
      </c>
      <c r="J42">
        <f t="shared" si="2"/>
        <v>0</v>
      </c>
      <c r="K42">
        <f t="shared" si="3"/>
        <v>0</v>
      </c>
      <c r="L42">
        <f t="shared" si="0"/>
        <v>0</v>
      </c>
      <c r="M42" t="s">
        <v>63</v>
      </c>
    </row>
    <row r="43" spans="1:14">
      <c r="A43" s="3"/>
      <c r="B43" s="3"/>
      <c r="C43" s="3"/>
      <c r="D43" s="3"/>
      <c r="E43" s="3"/>
      <c r="F43" s="3"/>
      <c r="G43" s="3"/>
      <c r="H43" s="3"/>
      <c r="I43" s="3">
        <f t="shared" si="1"/>
        <v>0</v>
      </c>
      <c r="J43" s="3">
        <f t="shared" si="2"/>
        <v>0</v>
      </c>
      <c r="K43" s="3">
        <f t="shared" si="3"/>
        <v>0</v>
      </c>
      <c r="L43" s="3">
        <f t="shared" si="0"/>
        <v>0</v>
      </c>
      <c r="M43" s="3" t="s">
        <v>64</v>
      </c>
      <c r="N43" t="s">
        <v>65</v>
      </c>
    </row>
    <row r="44" spans="1:14">
      <c r="A44" t="s">
        <v>67</v>
      </c>
      <c r="B44">
        <v>1</v>
      </c>
      <c r="C44">
        <v>3</v>
      </c>
      <c r="D44">
        <v>2</v>
      </c>
      <c r="F44">
        <v>3</v>
      </c>
      <c r="G44">
        <v>2</v>
      </c>
      <c r="I44">
        <f t="shared" si="1"/>
        <v>4</v>
      </c>
      <c r="J44">
        <f t="shared" si="2"/>
        <v>5</v>
      </c>
      <c r="K44">
        <f t="shared" si="3"/>
        <v>2</v>
      </c>
      <c r="L44">
        <f t="shared" si="0"/>
        <v>0</v>
      </c>
      <c r="M44" t="s">
        <v>70</v>
      </c>
    </row>
    <row r="45" spans="1:14">
      <c r="A45" t="s">
        <v>69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0"/>
        <v>0</v>
      </c>
      <c r="M45" t="s">
        <v>71</v>
      </c>
      <c r="N45" t="s">
        <v>65</v>
      </c>
    </row>
    <row r="46" spans="1:14">
      <c r="A46" s="3"/>
      <c r="B46" s="3"/>
      <c r="C46" s="3"/>
      <c r="D46" s="3"/>
      <c r="E46" s="3"/>
      <c r="F46" s="3">
        <v>84</v>
      </c>
      <c r="G46" s="3"/>
      <c r="H46" s="3"/>
      <c r="I46" s="3">
        <f t="shared" si="1"/>
        <v>84</v>
      </c>
      <c r="J46" s="3">
        <f t="shared" si="2"/>
        <v>0</v>
      </c>
      <c r="K46" s="3">
        <f t="shared" si="3"/>
        <v>0</v>
      </c>
      <c r="L46" s="3">
        <f t="shared" si="0"/>
        <v>0</v>
      </c>
      <c r="M46" s="3"/>
      <c r="N46" t="s">
        <v>72</v>
      </c>
    </row>
    <row r="47" spans="1:14">
      <c r="A47" t="s">
        <v>74</v>
      </c>
      <c r="B47">
        <v>2</v>
      </c>
      <c r="C47">
        <v>3</v>
      </c>
      <c r="D47">
        <v>3</v>
      </c>
      <c r="F47">
        <v>3</v>
      </c>
      <c r="G47">
        <v>2</v>
      </c>
      <c r="I47">
        <f t="shared" si="1"/>
        <v>5</v>
      </c>
      <c r="J47">
        <f t="shared" si="2"/>
        <v>5</v>
      </c>
      <c r="K47">
        <f t="shared" si="3"/>
        <v>3</v>
      </c>
      <c r="L47">
        <f t="shared" si="0"/>
        <v>0</v>
      </c>
      <c r="M47" t="s">
        <v>76</v>
      </c>
      <c r="N47" t="s">
        <v>65</v>
      </c>
    </row>
    <row r="48" spans="1:14">
      <c r="A48" t="s">
        <v>123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0"/>
        <v>0</v>
      </c>
      <c r="M48" t="s">
        <v>77</v>
      </c>
      <c r="N48" t="s">
        <v>78</v>
      </c>
    </row>
    <row r="49" spans="1:15">
      <c r="A49" s="3"/>
      <c r="B49" s="3"/>
      <c r="C49" s="3"/>
      <c r="D49" s="3"/>
      <c r="E49" s="3"/>
      <c r="F49" s="3"/>
      <c r="G49" s="3"/>
      <c r="H49" s="3"/>
      <c r="I49" s="3">
        <f t="shared" si="1"/>
        <v>0</v>
      </c>
      <c r="J49" s="3">
        <f t="shared" si="2"/>
        <v>0</v>
      </c>
      <c r="K49" s="3">
        <f t="shared" si="3"/>
        <v>0</v>
      </c>
      <c r="L49" s="3">
        <f t="shared" si="0"/>
        <v>0</v>
      </c>
      <c r="M49" s="3" t="s">
        <v>79</v>
      </c>
    </row>
    <row r="50" spans="1:15">
      <c r="A50">
        <v>20</v>
      </c>
      <c r="B50">
        <v>2</v>
      </c>
      <c r="C50">
        <v>3</v>
      </c>
      <c r="D50">
        <v>2</v>
      </c>
      <c r="E50">
        <v>1</v>
      </c>
      <c r="F50">
        <v>3</v>
      </c>
      <c r="G50">
        <v>2</v>
      </c>
      <c r="I50">
        <f t="shared" si="1"/>
        <v>5</v>
      </c>
      <c r="J50">
        <f t="shared" si="2"/>
        <v>5</v>
      </c>
      <c r="K50">
        <f t="shared" si="3"/>
        <v>2</v>
      </c>
      <c r="L50">
        <f t="shared" si="0"/>
        <v>1</v>
      </c>
      <c r="M50" t="s">
        <v>80</v>
      </c>
    </row>
    <row r="51" spans="1:15">
      <c r="A51" s="3"/>
      <c r="B51" s="3"/>
      <c r="C51" s="3"/>
      <c r="D51" s="3"/>
      <c r="E51" s="3"/>
      <c r="F51" s="3"/>
      <c r="G51" s="3"/>
      <c r="H51" s="3"/>
      <c r="I51" s="3">
        <f t="shared" si="1"/>
        <v>0</v>
      </c>
      <c r="J51" s="3">
        <f t="shared" si="2"/>
        <v>0</v>
      </c>
      <c r="K51" s="3">
        <f t="shared" si="3"/>
        <v>0</v>
      </c>
      <c r="L51" s="3">
        <f t="shared" si="0"/>
        <v>0</v>
      </c>
      <c r="M51" s="3" t="s">
        <v>81</v>
      </c>
      <c r="N51" t="s">
        <v>82</v>
      </c>
    </row>
    <row r="52" spans="1:15">
      <c r="A52">
        <v>21</v>
      </c>
      <c r="B52">
        <v>3</v>
      </c>
      <c r="C52">
        <v>3</v>
      </c>
      <c r="D52">
        <v>3</v>
      </c>
      <c r="E52">
        <v>1</v>
      </c>
      <c r="F52">
        <v>3</v>
      </c>
      <c r="G52">
        <v>2</v>
      </c>
      <c r="I52">
        <f t="shared" ref="I52:I70" si="4">B52+F52</f>
        <v>6</v>
      </c>
      <c r="J52">
        <f t="shared" ref="J52:J70" si="5">C52+G52</f>
        <v>5</v>
      </c>
      <c r="K52">
        <f t="shared" ref="K52:L70" si="6">D52</f>
        <v>3</v>
      </c>
      <c r="L52">
        <f t="shared" si="0"/>
        <v>1</v>
      </c>
      <c r="M52" t="s">
        <v>83</v>
      </c>
      <c r="O52" t="s">
        <v>86</v>
      </c>
    </row>
    <row r="53" spans="1:15">
      <c r="I53">
        <f t="shared" si="4"/>
        <v>0</v>
      </c>
      <c r="J53">
        <f t="shared" si="5"/>
        <v>0</v>
      </c>
      <c r="K53">
        <f t="shared" si="6"/>
        <v>0</v>
      </c>
      <c r="L53">
        <f t="shared" si="0"/>
        <v>0</v>
      </c>
      <c r="M53" t="s">
        <v>84</v>
      </c>
      <c r="N53" t="s">
        <v>21</v>
      </c>
      <c r="O53" t="s">
        <v>86</v>
      </c>
    </row>
    <row r="54" spans="1:15">
      <c r="A54" s="3"/>
      <c r="B54" s="3"/>
      <c r="C54" s="3"/>
      <c r="D54" s="3"/>
      <c r="E54" s="3"/>
      <c r="F54" s="3"/>
      <c r="G54" s="3"/>
      <c r="H54" s="3"/>
      <c r="I54" s="3">
        <f t="shared" si="4"/>
        <v>0</v>
      </c>
      <c r="J54" s="3">
        <f t="shared" si="5"/>
        <v>0</v>
      </c>
      <c r="K54" s="3">
        <f t="shared" si="6"/>
        <v>0</v>
      </c>
      <c r="L54" s="3">
        <f t="shared" si="0"/>
        <v>0</v>
      </c>
      <c r="M54" s="3" t="s">
        <v>85</v>
      </c>
      <c r="N54" t="s">
        <v>21</v>
      </c>
      <c r="O54" t="s">
        <v>86</v>
      </c>
    </row>
    <row r="55" spans="1:15">
      <c r="A55" t="s">
        <v>122</v>
      </c>
      <c r="B55">
        <v>3</v>
      </c>
      <c r="C55">
        <v>3</v>
      </c>
      <c r="D55">
        <v>2</v>
      </c>
      <c r="E55">
        <v>2</v>
      </c>
      <c r="F55">
        <v>3</v>
      </c>
      <c r="G55">
        <v>2</v>
      </c>
      <c r="I55">
        <f t="shared" si="4"/>
        <v>6</v>
      </c>
      <c r="J55">
        <f t="shared" si="5"/>
        <v>5</v>
      </c>
      <c r="K55">
        <f t="shared" si="6"/>
        <v>2</v>
      </c>
      <c r="L55">
        <f t="shared" si="0"/>
        <v>2</v>
      </c>
      <c r="M55" t="s">
        <v>91</v>
      </c>
    </row>
    <row r="56" spans="1:15">
      <c r="I56">
        <f t="shared" si="4"/>
        <v>0</v>
      </c>
      <c r="J56">
        <f t="shared" si="5"/>
        <v>0</v>
      </c>
      <c r="K56">
        <f t="shared" si="6"/>
        <v>0</v>
      </c>
      <c r="L56">
        <f t="shared" si="0"/>
        <v>0</v>
      </c>
      <c r="M56" t="s">
        <v>92</v>
      </c>
      <c r="O56" t="s">
        <v>86</v>
      </c>
    </row>
    <row r="57" spans="1:15">
      <c r="A57" s="5" t="s">
        <v>121</v>
      </c>
      <c r="B57" s="5">
        <v>3</v>
      </c>
      <c r="C57" s="5">
        <v>3</v>
      </c>
      <c r="D57" s="5">
        <v>2</v>
      </c>
      <c r="E57" s="5">
        <v>3</v>
      </c>
      <c r="F57" s="5">
        <v>3</v>
      </c>
      <c r="G57" s="5">
        <v>2</v>
      </c>
      <c r="H57" s="5"/>
      <c r="I57" s="5">
        <f t="shared" si="4"/>
        <v>6</v>
      </c>
      <c r="J57" s="5">
        <f t="shared" si="5"/>
        <v>5</v>
      </c>
      <c r="K57" s="5">
        <f t="shared" si="6"/>
        <v>2</v>
      </c>
      <c r="L57" s="5">
        <f t="shared" si="0"/>
        <v>3</v>
      </c>
      <c r="M57" s="5" t="s">
        <v>95</v>
      </c>
    </row>
    <row r="58" spans="1:15">
      <c r="A58" s="3"/>
      <c r="B58" s="3"/>
      <c r="C58" s="3"/>
      <c r="D58" s="3"/>
      <c r="E58" s="3"/>
      <c r="F58" s="3"/>
      <c r="G58" s="3"/>
      <c r="H58" s="3"/>
      <c r="I58" s="3">
        <f t="shared" si="4"/>
        <v>0</v>
      </c>
      <c r="J58" s="3">
        <f t="shared" si="5"/>
        <v>0</v>
      </c>
      <c r="K58" s="3">
        <f t="shared" si="6"/>
        <v>0</v>
      </c>
      <c r="L58" s="3">
        <f t="shared" si="0"/>
        <v>0</v>
      </c>
      <c r="M58" s="3" t="s">
        <v>96</v>
      </c>
    </row>
    <row r="59" spans="1:15">
      <c r="A59">
        <v>24</v>
      </c>
      <c r="B59">
        <v>1</v>
      </c>
      <c r="C59">
        <v>4</v>
      </c>
      <c r="D59">
        <v>1</v>
      </c>
      <c r="F59">
        <v>3</v>
      </c>
      <c r="G59">
        <v>2</v>
      </c>
      <c r="I59">
        <f t="shared" si="4"/>
        <v>4</v>
      </c>
      <c r="J59">
        <f t="shared" si="5"/>
        <v>6</v>
      </c>
      <c r="K59">
        <f t="shared" si="6"/>
        <v>1</v>
      </c>
      <c r="L59">
        <f t="shared" si="0"/>
        <v>0</v>
      </c>
      <c r="M59" t="s">
        <v>97</v>
      </c>
      <c r="N59" t="s">
        <v>98</v>
      </c>
    </row>
    <row r="60" spans="1:15">
      <c r="I60">
        <f t="shared" si="4"/>
        <v>0</v>
      </c>
      <c r="J60">
        <f t="shared" si="5"/>
        <v>0</v>
      </c>
      <c r="K60">
        <f t="shared" si="6"/>
        <v>0</v>
      </c>
      <c r="L60">
        <f t="shared" si="0"/>
        <v>0</v>
      </c>
      <c r="M60" t="s">
        <v>99</v>
      </c>
      <c r="N60" t="s">
        <v>100</v>
      </c>
    </row>
    <row r="61" spans="1:15">
      <c r="A61" s="3"/>
      <c r="B61" s="3"/>
      <c r="C61" s="3"/>
      <c r="D61" s="3"/>
      <c r="E61" s="3"/>
      <c r="F61" s="3"/>
      <c r="G61" s="3"/>
      <c r="H61" s="3"/>
      <c r="I61" s="3">
        <f t="shared" si="4"/>
        <v>0</v>
      </c>
      <c r="J61" s="3">
        <f t="shared" si="5"/>
        <v>0</v>
      </c>
      <c r="K61" s="3">
        <f t="shared" si="6"/>
        <v>0</v>
      </c>
      <c r="L61" s="3">
        <f t="shared" si="0"/>
        <v>0</v>
      </c>
      <c r="M61" s="3" t="s">
        <v>101</v>
      </c>
    </row>
    <row r="62" spans="1:15">
      <c r="A62" s="6">
        <v>25</v>
      </c>
      <c r="B62" s="6">
        <v>2</v>
      </c>
      <c r="C62" s="6">
        <v>4</v>
      </c>
      <c r="D62" s="6">
        <v>3</v>
      </c>
      <c r="E62" s="6"/>
      <c r="F62" s="6">
        <v>3</v>
      </c>
      <c r="G62" s="6">
        <v>2</v>
      </c>
      <c r="H62" s="6"/>
      <c r="I62" s="6">
        <f t="shared" si="4"/>
        <v>5</v>
      </c>
      <c r="J62" s="6">
        <f t="shared" si="5"/>
        <v>6</v>
      </c>
      <c r="K62" s="6">
        <f t="shared" si="6"/>
        <v>3</v>
      </c>
      <c r="L62" s="6">
        <f t="shared" si="0"/>
        <v>0</v>
      </c>
      <c r="M62" s="6" t="s">
        <v>102</v>
      </c>
      <c r="N62" t="s">
        <v>103</v>
      </c>
    </row>
    <row r="63" spans="1:15">
      <c r="A63" s="5" t="s">
        <v>120</v>
      </c>
      <c r="B63" s="5">
        <v>2</v>
      </c>
      <c r="C63" s="5">
        <v>4</v>
      </c>
      <c r="D63" s="5">
        <v>2</v>
      </c>
      <c r="E63" s="5">
        <v>2</v>
      </c>
      <c r="F63" s="5">
        <v>3</v>
      </c>
      <c r="G63" s="5">
        <v>2</v>
      </c>
      <c r="H63" s="5"/>
      <c r="I63" s="5">
        <f t="shared" si="4"/>
        <v>5</v>
      </c>
      <c r="J63" s="5">
        <f t="shared" si="5"/>
        <v>6</v>
      </c>
      <c r="K63" s="5">
        <f t="shared" si="6"/>
        <v>2</v>
      </c>
      <c r="L63" s="5">
        <f t="shared" si="0"/>
        <v>2</v>
      </c>
      <c r="M63" s="5" t="s">
        <v>106</v>
      </c>
      <c r="N63" t="s">
        <v>107</v>
      </c>
      <c r="O63" t="s">
        <v>52</v>
      </c>
    </row>
    <row r="64" spans="1:15">
      <c r="A64">
        <v>27</v>
      </c>
      <c r="B64">
        <v>4</v>
      </c>
      <c r="C64">
        <v>4</v>
      </c>
      <c r="D64">
        <v>4</v>
      </c>
      <c r="E64">
        <v>1</v>
      </c>
      <c r="F64">
        <v>3</v>
      </c>
      <c r="G64">
        <v>2</v>
      </c>
      <c r="I64">
        <f t="shared" si="4"/>
        <v>7</v>
      </c>
      <c r="J64">
        <f t="shared" si="5"/>
        <v>6</v>
      </c>
      <c r="K64">
        <f t="shared" si="6"/>
        <v>4</v>
      </c>
      <c r="L64">
        <f t="shared" si="0"/>
        <v>1</v>
      </c>
      <c r="M64" t="s">
        <v>108</v>
      </c>
      <c r="O64" t="s">
        <v>86</v>
      </c>
    </row>
    <row r="65" spans="1:15">
      <c r="I65">
        <f t="shared" si="4"/>
        <v>0</v>
      </c>
      <c r="J65">
        <f t="shared" si="5"/>
        <v>0</v>
      </c>
      <c r="K65">
        <f t="shared" si="6"/>
        <v>0</v>
      </c>
      <c r="L65">
        <f t="shared" si="0"/>
        <v>0</v>
      </c>
      <c r="M65" t="s">
        <v>109</v>
      </c>
      <c r="O65" t="s">
        <v>86</v>
      </c>
    </row>
    <row r="66" spans="1:15">
      <c r="I66">
        <f t="shared" si="4"/>
        <v>0</v>
      </c>
      <c r="J66">
        <f t="shared" si="5"/>
        <v>0</v>
      </c>
      <c r="K66">
        <f t="shared" si="6"/>
        <v>0</v>
      </c>
      <c r="L66">
        <f t="shared" si="6"/>
        <v>0</v>
      </c>
      <c r="M66" t="s">
        <v>110</v>
      </c>
      <c r="O66" t="s">
        <v>86</v>
      </c>
    </row>
    <row r="67" spans="1:15">
      <c r="A67" s="3"/>
      <c r="B67" s="3"/>
      <c r="C67" s="3"/>
      <c r="D67" s="3"/>
      <c r="E67" s="3"/>
      <c r="F67" s="3"/>
      <c r="G67" s="3"/>
      <c r="H67" s="3"/>
      <c r="I67" s="3">
        <f t="shared" si="4"/>
        <v>0</v>
      </c>
      <c r="J67" s="3">
        <f t="shared" si="5"/>
        <v>0</v>
      </c>
      <c r="K67" s="3">
        <f t="shared" si="6"/>
        <v>0</v>
      </c>
      <c r="L67" s="3">
        <f t="shared" si="6"/>
        <v>0</v>
      </c>
      <c r="M67" s="3" t="s">
        <v>111</v>
      </c>
      <c r="O67" t="s">
        <v>86</v>
      </c>
    </row>
    <row r="68" spans="1:15">
      <c r="A68" t="s">
        <v>119</v>
      </c>
      <c r="B68">
        <v>4</v>
      </c>
      <c r="C68">
        <v>4</v>
      </c>
      <c r="D68">
        <v>3</v>
      </c>
      <c r="E68">
        <v>2</v>
      </c>
      <c r="F68">
        <v>3</v>
      </c>
      <c r="G68">
        <v>2</v>
      </c>
      <c r="I68">
        <f t="shared" si="4"/>
        <v>7</v>
      </c>
      <c r="J68">
        <f t="shared" si="5"/>
        <v>6</v>
      </c>
      <c r="K68">
        <f t="shared" si="6"/>
        <v>3</v>
      </c>
      <c r="L68">
        <f t="shared" si="6"/>
        <v>2</v>
      </c>
      <c r="M68" t="s">
        <v>116</v>
      </c>
      <c r="O68" t="s">
        <v>86</v>
      </c>
    </row>
    <row r="69" spans="1:15">
      <c r="A69" s="6">
        <v>29</v>
      </c>
      <c r="B69" s="6">
        <v>3</v>
      </c>
      <c r="C69" s="6">
        <v>4</v>
      </c>
      <c r="D69" s="6">
        <v>3</v>
      </c>
      <c r="E69" s="6">
        <v>2</v>
      </c>
      <c r="F69" s="6">
        <v>3</v>
      </c>
      <c r="G69" s="6">
        <v>2</v>
      </c>
      <c r="H69" s="6"/>
      <c r="I69" s="6">
        <f t="shared" si="4"/>
        <v>6</v>
      </c>
      <c r="J69" s="6">
        <f t="shared" si="5"/>
        <v>6</v>
      </c>
      <c r="K69" s="6">
        <f t="shared" si="6"/>
        <v>3</v>
      </c>
      <c r="L69" s="6">
        <f t="shared" si="6"/>
        <v>2</v>
      </c>
      <c r="M69" s="6"/>
      <c r="N69" t="s">
        <v>117</v>
      </c>
    </row>
    <row r="70" spans="1:15">
      <c r="A70" s="6">
        <v>30</v>
      </c>
      <c r="B70" s="6">
        <v>3</v>
      </c>
      <c r="C70" s="6">
        <v>3</v>
      </c>
      <c r="D70" s="6">
        <v>4</v>
      </c>
      <c r="E70" s="6"/>
      <c r="F70" s="6">
        <v>3</v>
      </c>
      <c r="G70" s="6">
        <v>2</v>
      </c>
      <c r="H70" s="6"/>
      <c r="I70" s="6">
        <f t="shared" si="4"/>
        <v>6</v>
      </c>
      <c r="J70" s="6">
        <f t="shared" si="5"/>
        <v>5</v>
      </c>
      <c r="K70" s="6">
        <f t="shared" si="6"/>
        <v>4</v>
      </c>
      <c r="L70" s="6">
        <f t="shared" si="6"/>
        <v>0</v>
      </c>
      <c r="M70" s="6" t="s">
        <v>118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368D-1FFD-A544-9BE8-30253F424F42}">
  <dimension ref="A1:W54"/>
  <sheetViews>
    <sheetView workbookViewId="0">
      <pane ySplit="1" topLeftCell="A2" activePane="bottomLeft" state="frozen"/>
      <selection pane="bottomLeft" sqref="A1:M54"/>
    </sheetView>
  </sheetViews>
  <sheetFormatPr baseColWidth="10" defaultRowHeight="20"/>
  <cols>
    <col min="10" max="10" width="19.85546875" bestFit="1" customWidth="1"/>
    <col min="11" max="11" width="13.5703125" bestFit="1" customWidth="1"/>
    <col min="12" max="12" width="23" bestFit="1" customWidth="1"/>
    <col min="14" max="14" width="12.7109375" bestFit="1" customWidth="1"/>
    <col min="17" max="17" width="38.42578125" bestFit="1" customWidth="1"/>
  </cols>
  <sheetData>
    <row r="1" spans="1:19">
      <c r="A1" s="8"/>
      <c r="B1" s="8" t="s">
        <v>0</v>
      </c>
      <c r="C1" s="8" t="s">
        <v>11</v>
      </c>
      <c r="D1" s="8" t="s">
        <v>12</v>
      </c>
      <c r="E1" s="8" t="s">
        <v>44</v>
      </c>
      <c r="F1" s="8" t="s">
        <v>1</v>
      </c>
      <c r="G1" s="8" t="s">
        <v>2</v>
      </c>
      <c r="H1" s="8"/>
      <c r="I1" s="15" t="s">
        <v>14</v>
      </c>
      <c r="J1" s="15" t="s">
        <v>13</v>
      </c>
      <c r="K1" s="15" t="s">
        <v>15</v>
      </c>
      <c r="L1" s="15" t="s">
        <v>45</v>
      </c>
      <c r="M1" s="8"/>
      <c r="O1" t="s">
        <v>133</v>
      </c>
    </row>
    <row r="2" spans="1:19">
      <c r="A2" s="9">
        <v>1</v>
      </c>
      <c r="B2" s="9">
        <v>3</v>
      </c>
      <c r="C2" s="9"/>
      <c r="D2" s="9"/>
      <c r="E2" s="9"/>
      <c r="F2" s="9">
        <v>3</v>
      </c>
      <c r="G2" s="9">
        <v>2</v>
      </c>
      <c r="H2" s="9"/>
      <c r="I2" s="9">
        <f>B2+F2</f>
        <v>6</v>
      </c>
      <c r="J2" s="9">
        <f>C2+G2</f>
        <v>2</v>
      </c>
      <c r="K2" s="9">
        <f>D2</f>
        <v>0</v>
      </c>
      <c r="L2" s="9">
        <f>E2</f>
        <v>0</v>
      </c>
      <c r="M2" s="9" t="s">
        <v>6</v>
      </c>
    </row>
    <row r="3" spans="1:19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 t="s">
        <v>7</v>
      </c>
    </row>
    <row r="4" spans="1:19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131</v>
      </c>
    </row>
    <row r="5" spans="1:19">
      <c r="A5" s="9" t="s">
        <v>130</v>
      </c>
      <c r="B5" s="9">
        <v>4</v>
      </c>
      <c r="C5" s="9"/>
      <c r="D5" s="9"/>
      <c r="E5" s="9"/>
      <c r="F5" s="9">
        <v>3</v>
      </c>
      <c r="G5" s="9">
        <v>2</v>
      </c>
      <c r="H5" s="9"/>
      <c r="I5" s="9">
        <f>B5+F5</f>
        <v>7</v>
      </c>
      <c r="J5" s="9">
        <f>C5+G5</f>
        <v>2</v>
      </c>
      <c r="K5" s="9">
        <f>D5</f>
        <v>0</v>
      </c>
      <c r="L5" s="9">
        <f t="shared" ref="L5:L46" si="0">E5</f>
        <v>0</v>
      </c>
      <c r="M5" s="9" t="s">
        <v>3</v>
      </c>
    </row>
    <row r="6" spans="1:19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 t="s">
        <v>4</v>
      </c>
    </row>
    <row r="7" spans="1:1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1" t="s">
        <v>5</v>
      </c>
    </row>
    <row r="8" spans="1:19">
      <c r="A8" s="9"/>
      <c r="B8" s="9"/>
      <c r="C8" s="9"/>
      <c r="D8" s="9"/>
      <c r="E8" s="9"/>
      <c r="F8" s="9"/>
      <c r="G8" s="9"/>
      <c r="H8" s="9"/>
      <c r="I8" s="10"/>
      <c r="J8" s="10"/>
      <c r="K8" s="10"/>
      <c r="L8" s="10"/>
      <c r="M8" s="12" t="s">
        <v>132</v>
      </c>
    </row>
    <row r="9" spans="1:19">
      <c r="A9" s="13">
        <v>3</v>
      </c>
      <c r="B9" s="13">
        <v>5</v>
      </c>
      <c r="C9" s="13"/>
      <c r="D9" s="13"/>
      <c r="E9" s="13"/>
      <c r="F9" s="13">
        <v>3</v>
      </c>
      <c r="G9" s="13">
        <v>2</v>
      </c>
      <c r="H9" s="13"/>
      <c r="I9" s="9">
        <f>B9+F9</f>
        <v>8</v>
      </c>
      <c r="J9" s="9">
        <f>C9+G9</f>
        <v>2</v>
      </c>
      <c r="K9" s="9">
        <f>D9</f>
        <v>0</v>
      </c>
      <c r="L9" s="9">
        <f t="shared" si="0"/>
        <v>0</v>
      </c>
      <c r="M9" s="11" t="s">
        <v>8</v>
      </c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2" t="s">
        <v>9</v>
      </c>
    </row>
    <row r="11" spans="1:19">
      <c r="A11" s="14">
        <v>4</v>
      </c>
      <c r="B11" s="14">
        <v>6</v>
      </c>
      <c r="C11" s="10"/>
      <c r="D11" s="10"/>
      <c r="E11" s="10"/>
      <c r="F11" s="10">
        <v>3</v>
      </c>
      <c r="G11" s="10">
        <v>2</v>
      </c>
      <c r="H11" s="10"/>
      <c r="I11" s="10">
        <f>B11+F11</f>
        <v>9</v>
      </c>
      <c r="J11" s="10">
        <f>C11+G11</f>
        <v>2</v>
      </c>
      <c r="K11" s="10">
        <f>D11</f>
        <v>0</v>
      </c>
      <c r="L11" s="14">
        <f t="shared" si="0"/>
        <v>0</v>
      </c>
      <c r="M11" s="12" t="s">
        <v>10</v>
      </c>
    </row>
    <row r="12" spans="1:19">
      <c r="A12" s="9">
        <v>5</v>
      </c>
      <c r="B12" s="9">
        <v>2</v>
      </c>
      <c r="C12" s="9">
        <v>1</v>
      </c>
      <c r="D12" s="9">
        <v>2</v>
      </c>
      <c r="E12" s="9"/>
      <c r="F12" s="9">
        <v>3</v>
      </c>
      <c r="G12" s="9">
        <v>2</v>
      </c>
      <c r="H12" s="9"/>
      <c r="I12" s="9">
        <f>B12+F12</f>
        <v>5</v>
      </c>
      <c r="J12" s="9">
        <f>C12+G12</f>
        <v>3</v>
      </c>
      <c r="K12" s="9">
        <f>D12</f>
        <v>2</v>
      </c>
      <c r="L12" s="9">
        <f t="shared" si="0"/>
        <v>0</v>
      </c>
      <c r="M12" s="11" t="s">
        <v>16</v>
      </c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2" t="s">
        <v>17</v>
      </c>
    </row>
    <row r="14" spans="1:19">
      <c r="A14" s="14">
        <v>6</v>
      </c>
      <c r="B14" s="14">
        <v>3</v>
      </c>
      <c r="C14" s="14">
        <v>1</v>
      </c>
      <c r="D14" s="14">
        <v>2</v>
      </c>
      <c r="E14" s="14"/>
      <c r="F14" s="14">
        <v>3</v>
      </c>
      <c r="G14" s="14">
        <v>2</v>
      </c>
      <c r="H14" s="14"/>
      <c r="I14" s="14">
        <f t="shared" ref="I14:J18" si="1">B14+F14</f>
        <v>6</v>
      </c>
      <c r="J14" s="10">
        <f t="shared" si="1"/>
        <v>3</v>
      </c>
      <c r="K14" s="10">
        <f>D14</f>
        <v>2</v>
      </c>
      <c r="L14" s="14">
        <f t="shared" si="0"/>
        <v>0</v>
      </c>
      <c r="M14" s="12"/>
      <c r="N14" t="s">
        <v>147</v>
      </c>
      <c r="Q14" s="4" t="s">
        <v>18</v>
      </c>
    </row>
    <row r="15" spans="1:19">
      <c r="A15" s="14">
        <v>7</v>
      </c>
      <c r="B15" s="14"/>
      <c r="C15" s="14">
        <v>2</v>
      </c>
      <c r="D15" s="14">
        <v>1</v>
      </c>
      <c r="E15" s="14"/>
      <c r="F15" s="14">
        <v>3</v>
      </c>
      <c r="G15" s="14">
        <v>2</v>
      </c>
      <c r="H15" s="14"/>
      <c r="I15" s="14">
        <f t="shared" si="1"/>
        <v>3</v>
      </c>
      <c r="J15" s="14">
        <f t="shared" si="1"/>
        <v>4</v>
      </c>
      <c r="K15" s="14">
        <f>D15</f>
        <v>1</v>
      </c>
      <c r="L15" s="14">
        <f t="shared" si="0"/>
        <v>0</v>
      </c>
      <c r="M15" s="16" t="s">
        <v>19</v>
      </c>
      <c r="Q15" s="4" t="s">
        <v>20</v>
      </c>
      <c r="R15" t="s">
        <v>21</v>
      </c>
    </row>
    <row r="16" spans="1:19">
      <c r="A16" s="9">
        <v>8</v>
      </c>
      <c r="B16" s="9">
        <v>2</v>
      </c>
      <c r="C16" s="9">
        <v>2</v>
      </c>
      <c r="D16" s="9"/>
      <c r="E16" s="9"/>
      <c r="F16" s="9">
        <v>3</v>
      </c>
      <c r="G16" s="9">
        <v>2</v>
      </c>
      <c r="H16" s="9"/>
      <c r="I16" s="9">
        <f t="shared" si="1"/>
        <v>5</v>
      </c>
      <c r="J16" s="9">
        <f t="shared" si="1"/>
        <v>4</v>
      </c>
      <c r="K16" s="9">
        <f>D16</f>
        <v>0</v>
      </c>
      <c r="L16" s="9">
        <f t="shared" si="0"/>
        <v>0</v>
      </c>
      <c r="M16" s="11" t="s">
        <v>22</v>
      </c>
      <c r="Q16" s="1" t="s">
        <v>23</v>
      </c>
      <c r="R16" s="1" t="s">
        <v>24</v>
      </c>
      <c r="S16" s="4" t="s">
        <v>25</v>
      </c>
    </row>
    <row r="17" spans="1:23">
      <c r="A17" s="10"/>
      <c r="B17" s="10"/>
      <c r="C17" s="10"/>
      <c r="D17" s="10"/>
      <c r="E17" s="10"/>
      <c r="F17" s="10"/>
      <c r="G17" s="10"/>
      <c r="H17" s="10"/>
      <c r="I17" s="10">
        <f t="shared" si="1"/>
        <v>0</v>
      </c>
      <c r="J17" s="10">
        <f t="shared" si="1"/>
        <v>0</v>
      </c>
      <c r="K17" s="10">
        <f>D17</f>
        <v>0</v>
      </c>
      <c r="L17" s="10">
        <f t="shared" si="0"/>
        <v>0</v>
      </c>
      <c r="M17" s="12"/>
      <c r="N17" t="s">
        <v>147</v>
      </c>
    </row>
    <row r="18" spans="1:23">
      <c r="A18" s="9" t="s">
        <v>28</v>
      </c>
      <c r="B18" s="9">
        <v>1</v>
      </c>
      <c r="C18" s="9">
        <v>2</v>
      </c>
      <c r="D18" s="9">
        <v>2</v>
      </c>
      <c r="E18" s="9"/>
      <c r="F18" s="9">
        <v>3</v>
      </c>
      <c r="G18" s="9">
        <v>2</v>
      </c>
      <c r="H18" s="9"/>
      <c r="I18" s="9">
        <f t="shared" si="1"/>
        <v>4</v>
      </c>
      <c r="J18" s="9">
        <f t="shared" si="1"/>
        <v>4</v>
      </c>
      <c r="K18" s="9">
        <f>D18</f>
        <v>2</v>
      </c>
      <c r="L18" s="9">
        <f t="shared" si="0"/>
        <v>0</v>
      </c>
      <c r="M18" s="11" t="s">
        <v>26</v>
      </c>
    </row>
    <row r="19" spans="1:23">
      <c r="A19" s="10" t="s">
        <v>30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2" t="s">
        <v>31</v>
      </c>
    </row>
    <row r="20" spans="1:23">
      <c r="A20" s="9" t="s">
        <v>127</v>
      </c>
      <c r="B20" s="9">
        <v>2</v>
      </c>
      <c r="C20" s="9">
        <v>2</v>
      </c>
      <c r="D20" s="9">
        <v>1</v>
      </c>
      <c r="E20" s="9"/>
      <c r="F20" s="9">
        <v>3</v>
      </c>
      <c r="G20" s="9">
        <v>2</v>
      </c>
      <c r="H20" s="9"/>
      <c r="I20" s="9">
        <f>B20+F20</f>
        <v>5</v>
      </c>
      <c r="J20" s="9">
        <f>C20+G20</f>
        <v>4</v>
      </c>
      <c r="K20" s="9">
        <f>D20</f>
        <v>1</v>
      </c>
      <c r="L20" s="9">
        <f t="shared" si="0"/>
        <v>0</v>
      </c>
      <c r="M20" s="11"/>
      <c r="N20" t="s">
        <v>147</v>
      </c>
      <c r="Q20" s="1" t="s">
        <v>38</v>
      </c>
      <c r="S20" t="s">
        <v>33</v>
      </c>
      <c r="T20" t="s">
        <v>34</v>
      </c>
      <c r="U20" t="s">
        <v>35</v>
      </c>
      <c r="V20" t="s">
        <v>36</v>
      </c>
      <c r="W20" s="3" t="s">
        <v>37</v>
      </c>
    </row>
    <row r="21" spans="1:23">
      <c r="A21" s="10" t="s">
        <v>129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t="s">
        <v>147</v>
      </c>
    </row>
    <row r="22" spans="1:23">
      <c r="A22" s="14">
        <v>11</v>
      </c>
      <c r="B22" s="14">
        <v>2</v>
      </c>
      <c r="C22" s="14">
        <v>2</v>
      </c>
      <c r="D22" s="14">
        <v>3</v>
      </c>
      <c r="E22" s="14"/>
      <c r="F22" s="14">
        <v>3</v>
      </c>
      <c r="G22" s="14">
        <v>2</v>
      </c>
      <c r="H22" s="14"/>
      <c r="I22" s="14">
        <f>B22+F22</f>
        <v>5</v>
      </c>
      <c r="J22" s="14">
        <f>C22+G22</f>
        <v>4</v>
      </c>
      <c r="K22" s="14">
        <f>D22</f>
        <v>3</v>
      </c>
      <c r="L22" s="14">
        <f t="shared" si="0"/>
        <v>0</v>
      </c>
      <c r="M22" s="14" t="s">
        <v>40</v>
      </c>
      <c r="N22" s="2"/>
      <c r="Q22" s="1" t="s">
        <v>134</v>
      </c>
      <c r="R22" t="s">
        <v>21</v>
      </c>
      <c r="S22" t="s">
        <v>42</v>
      </c>
      <c r="T22" t="s">
        <v>41</v>
      </c>
    </row>
    <row r="23" spans="1:23">
      <c r="A23" s="9" t="s">
        <v>126</v>
      </c>
      <c r="B23" s="9">
        <v>2</v>
      </c>
      <c r="C23" s="9">
        <v>2</v>
      </c>
      <c r="D23" s="9">
        <v>2</v>
      </c>
      <c r="E23" s="9">
        <v>1</v>
      </c>
      <c r="F23" s="9">
        <v>3</v>
      </c>
      <c r="G23" s="9">
        <v>2</v>
      </c>
      <c r="H23" s="9"/>
      <c r="I23" s="9">
        <f>B23+F23</f>
        <v>5</v>
      </c>
      <c r="J23" s="9">
        <f>C23+G23</f>
        <v>4</v>
      </c>
      <c r="K23" s="9">
        <f>D23</f>
        <v>2</v>
      </c>
      <c r="L23" s="9">
        <f t="shared" si="0"/>
        <v>1</v>
      </c>
      <c r="M23" s="9" t="s">
        <v>46</v>
      </c>
    </row>
    <row r="24" spans="1:2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47</v>
      </c>
      <c r="Q24" t="s">
        <v>48</v>
      </c>
    </row>
    <row r="25" spans="1:23">
      <c r="A25" s="14">
        <v>13</v>
      </c>
      <c r="B25" s="14">
        <v>2</v>
      </c>
      <c r="C25" s="14">
        <v>2</v>
      </c>
      <c r="D25" s="14">
        <v>2</v>
      </c>
      <c r="E25" s="14">
        <v>2</v>
      </c>
      <c r="F25" s="14">
        <v>3</v>
      </c>
      <c r="G25" s="14">
        <v>2</v>
      </c>
      <c r="H25" s="14"/>
      <c r="I25" s="14">
        <f t="shared" ref="I25:J29" si="2">B25+F25</f>
        <v>5</v>
      </c>
      <c r="J25" s="14">
        <f t="shared" si="2"/>
        <v>4</v>
      </c>
      <c r="K25" s="14">
        <f>D25</f>
        <v>2</v>
      </c>
      <c r="L25" s="14">
        <f t="shared" si="0"/>
        <v>2</v>
      </c>
      <c r="M25" s="14" t="s">
        <v>49</v>
      </c>
    </row>
    <row r="26" spans="1:23">
      <c r="A26" s="9" t="s">
        <v>125</v>
      </c>
      <c r="B26" s="9">
        <v>2</v>
      </c>
      <c r="C26" s="9">
        <v>2</v>
      </c>
      <c r="D26" s="9">
        <v>1</v>
      </c>
      <c r="E26" s="9">
        <v>3</v>
      </c>
      <c r="F26" s="9">
        <v>3</v>
      </c>
      <c r="G26" s="9">
        <v>2</v>
      </c>
      <c r="H26" s="9"/>
      <c r="I26" s="9">
        <f t="shared" si="2"/>
        <v>5</v>
      </c>
      <c r="J26" s="9">
        <f t="shared" si="2"/>
        <v>4</v>
      </c>
      <c r="K26" s="9">
        <f>D26</f>
        <v>1</v>
      </c>
      <c r="L26" s="9">
        <f t="shared" si="0"/>
        <v>3</v>
      </c>
      <c r="M26" s="9" t="s">
        <v>51</v>
      </c>
      <c r="O26">
        <v>0</v>
      </c>
    </row>
    <row r="27" spans="1:23">
      <c r="A27" s="14">
        <v>15</v>
      </c>
      <c r="B27" s="14">
        <v>2</v>
      </c>
      <c r="C27" s="14">
        <v>2</v>
      </c>
      <c r="D27" s="14">
        <v>1</v>
      </c>
      <c r="E27" s="14">
        <v>4</v>
      </c>
      <c r="F27" s="14">
        <v>3</v>
      </c>
      <c r="G27" s="14">
        <v>2</v>
      </c>
      <c r="H27" s="14"/>
      <c r="I27" s="14">
        <f t="shared" si="2"/>
        <v>5</v>
      </c>
      <c r="J27" s="14">
        <f t="shared" si="2"/>
        <v>4</v>
      </c>
      <c r="K27" s="14">
        <f>D27</f>
        <v>1</v>
      </c>
      <c r="L27" s="14">
        <f t="shared" si="0"/>
        <v>4</v>
      </c>
      <c r="M27" s="14" t="s">
        <v>135</v>
      </c>
      <c r="O27">
        <v>0</v>
      </c>
      <c r="Q27" t="s">
        <v>136</v>
      </c>
    </row>
    <row r="28" spans="1:23">
      <c r="A28" s="14">
        <v>16</v>
      </c>
      <c r="B28" s="14"/>
      <c r="C28" s="14">
        <v>3</v>
      </c>
      <c r="D28" s="14">
        <v>1</v>
      </c>
      <c r="E28" s="14"/>
      <c r="F28" s="14">
        <v>3</v>
      </c>
      <c r="G28" s="14">
        <v>2</v>
      </c>
      <c r="H28" s="14"/>
      <c r="I28" s="14">
        <f t="shared" si="2"/>
        <v>3</v>
      </c>
      <c r="J28" s="14">
        <f t="shared" si="2"/>
        <v>5</v>
      </c>
      <c r="K28" s="14">
        <f>D28</f>
        <v>1</v>
      </c>
      <c r="L28" s="14">
        <f t="shared" si="0"/>
        <v>0</v>
      </c>
      <c r="M28" s="14" t="s">
        <v>55</v>
      </c>
      <c r="Q28" s="3" t="s">
        <v>56</v>
      </c>
      <c r="R28" t="s">
        <v>57</v>
      </c>
    </row>
    <row r="29" spans="1:23">
      <c r="A29" s="9" t="s">
        <v>124</v>
      </c>
      <c r="B29" s="9">
        <v>1</v>
      </c>
      <c r="C29" s="9">
        <v>3</v>
      </c>
      <c r="D29" s="9">
        <v>1</v>
      </c>
      <c r="E29" s="9"/>
      <c r="F29" s="9">
        <v>3</v>
      </c>
      <c r="G29" s="9">
        <v>2</v>
      </c>
      <c r="H29" s="9"/>
      <c r="I29" s="9">
        <f t="shared" si="2"/>
        <v>4</v>
      </c>
      <c r="J29" s="9">
        <f t="shared" si="2"/>
        <v>5</v>
      </c>
      <c r="K29" s="9">
        <f>D29</f>
        <v>1</v>
      </c>
      <c r="L29" s="9">
        <f t="shared" si="0"/>
        <v>0</v>
      </c>
      <c r="M29" s="9" t="s">
        <v>137</v>
      </c>
      <c r="Q29" t="s">
        <v>61</v>
      </c>
      <c r="R29" t="s">
        <v>62</v>
      </c>
      <c r="S29" s="3" t="s">
        <v>64</v>
      </c>
      <c r="T29" t="s">
        <v>65</v>
      </c>
    </row>
    <row r="30" spans="1:2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 t="s">
        <v>63</v>
      </c>
    </row>
    <row r="31" spans="1:2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138</v>
      </c>
    </row>
    <row r="32" spans="1:23">
      <c r="A32" s="13" t="s">
        <v>67</v>
      </c>
      <c r="B32" s="13">
        <v>1</v>
      </c>
      <c r="C32" s="13">
        <v>3</v>
      </c>
      <c r="D32" s="13">
        <v>2</v>
      </c>
      <c r="E32" s="13"/>
      <c r="F32" s="13">
        <v>3</v>
      </c>
      <c r="G32" s="13">
        <v>2</v>
      </c>
      <c r="H32" s="13"/>
      <c r="I32" s="13">
        <f>B32+F32</f>
        <v>4</v>
      </c>
      <c r="J32" s="13">
        <f>C32+G32</f>
        <v>5</v>
      </c>
      <c r="K32" s="13">
        <f>D32</f>
        <v>2</v>
      </c>
      <c r="L32" s="13">
        <f t="shared" si="0"/>
        <v>0</v>
      </c>
      <c r="M32" s="13" t="s">
        <v>70</v>
      </c>
      <c r="Q32" t="s">
        <v>71</v>
      </c>
      <c r="R32" t="s">
        <v>65</v>
      </c>
      <c r="T32" t="s">
        <v>72</v>
      </c>
    </row>
    <row r="33" spans="1:23">
      <c r="A33" s="10" t="s">
        <v>69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t="s">
        <v>148</v>
      </c>
    </row>
    <row r="34" spans="1:23">
      <c r="A34" s="9" t="s">
        <v>74</v>
      </c>
      <c r="B34" s="9">
        <v>2</v>
      </c>
      <c r="C34" s="9">
        <v>3</v>
      </c>
      <c r="D34" s="9">
        <v>3</v>
      </c>
      <c r="E34" s="9"/>
      <c r="F34" s="9">
        <v>3</v>
      </c>
      <c r="G34" s="9">
        <v>2</v>
      </c>
      <c r="H34" s="9"/>
      <c r="I34" s="9">
        <f t="shared" ref="I34:J36" si="3">B34+F34</f>
        <v>5</v>
      </c>
      <c r="J34" s="9">
        <f t="shared" si="3"/>
        <v>5</v>
      </c>
      <c r="K34" s="9">
        <f>D34</f>
        <v>3</v>
      </c>
      <c r="L34" s="9">
        <f t="shared" si="0"/>
        <v>0</v>
      </c>
      <c r="M34" s="9" t="s">
        <v>79</v>
      </c>
      <c r="Q34" t="s">
        <v>76</v>
      </c>
      <c r="R34" t="s">
        <v>65</v>
      </c>
      <c r="T34" t="s">
        <v>77</v>
      </c>
      <c r="U34" t="s">
        <v>78</v>
      </c>
    </row>
    <row r="35" spans="1:23">
      <c r="A35" s="10" t="s">
        <v>123</v>
      </c>
      <c r="B35" s="10"/>
      <c r="C35" s="10"/>
      <c r="D35" s="10"/>
      <c r="E35" s="10"/>
      <c r="F35" s="10"/>
      <c r="G35" s="10"/>
      <c r="H35" s="10"/>
      <c r="I35" s="10">
        <f t="shared" si="3"/>
        <v>0</v>
      </c>
      <c r="J35" s="10">
        <f t="shared" si="3"/>
        <v>0</v>
      </c>
      <c r="K35" s="10">
        <f>D35</f>
        <v>0</v>
      </c>
      <c r="L35" s="10">
        <f t="shared" si="0"/>
        <v>0</v>
      </c>
      <c r="M35" s="10"/>
      <c r="N35" s="17" t="s">
        <v>146</v>
      </c>
    </row>
    <row r="36" spans="1:23">
      <c r="A36" s="14">
        <v>20</v>
      </c>
      <c r="B36" s="14">
        <v>2</v>
      </c>
      <c r="C36" s="14">
        <v>3</v>
      </c>
      <c r="D36" s="14">
        <v>2</v>
      </c>
      <c r="E36" s="14">
        <v>1</v>
      </c>
      <c r="F36" s="14">
        <v>3</v>
      </c>
      <c r="G36" s="14">
        <v>2</v>
      </c>
      <c r="H36" s="14"/>
      <c r="I36" s="14">
        <f t="shared" si="3"/>
        <v>5</v>
      </c>
      <c r="J36" s="14">
        <f t="shared" si="3"/>
        <v>5</v>
      </c>
      <c r="K36" s="14">
        <f>D36</f>
        <v>2</v>
      </c>
      <c r="L36" s="14">
        <f t="shared" si="0"/>
        <v>1</v>
      </c>
      <c r="M36" s="14" t="s">
        <v>80</v>
      </c>
      <c r="Q36" t="s">
        <v>82</v>
      </c>
    </row>
    <row r="37" spans="1:23">
      <c r="A37" s="14">
        <v>21</v>
      </c>
      <c r="B37" s="14">
        <v>3</v>
      </c>
      <c r="C37" s="14">
        <v>3</v>
      </c>
      <c r="D37" s="14">
        <v>3</v>
      </c>
      <c r="E37" s="14">
        <v>1</v>
      </c>
      <c r="F37" s="14">
        <v>3</v>
      </c>
      <c r="G37" s="14">
        <v>2</v>
      </c>
      <c r="H37" s="14"/>
      <c r="I37" s="14">
        <f t="shared" ref="I37:J54" si="4">B37+F37</f>
        <v>6</v>
      </c>
      <c r="J37" s="14">
        <f t="shared" si="4"/>
        <v>5</v>
      </c>
      <c r="K37" s="14">
        <f t="shared" ref="K37:L54" si="5">D37</f>
        <v>3</v>
      </c>
      <c r="L37" s="14">
        <f t="shared" si="0"/>
        <v>1</v>
      </c>
      <c r="M37" s="14" t="s">
        <v>83</v>
      </c>
      <c r="O37">
        <v>0</v>
      </c>
      <c r="Q37" t="s">
        <v>84</v>
      </c>
      <c r="R37" t="s">
        <v>21</v>
      </c>
      <c r="T37" s="3" t="s">
        <v>85</v>
      </c>
      <c r="U37" t="s">
        <v>21</v>
      </c>
    </row>
    <row r="38" spans="1:23">
      <c r="A38" s="9" t="s">
        <v>122</v>
      </c>
      <c r="B38" s="9">
        <v>3</v>
      </c>
      <c r="C38" s="9">
        <v>3</v>
      </c>
      <c r="D38" s="9">
        <v>2</v>
      </c>
      <c r="E38" s="9">
        <v>2</v>
      </c>
      <c r="F38" s="9">
        <v>3</v>
      </c>
      <c r="G38" s="9">
        <v>2</v>
      </c>
      <c r="H38" s="9"/>
      <c r="I38" s="9">
        <f t="shared" si="4"/>
        <v>6</v>
      </c>
      <c r="J38" s="9">
        <f t="shared" si="4"/>
        <v>5</v>
      </c>
      <c r="K38" s="9">
        <f t="shared" si="5"/>
        <v>2</v>
      </c>
      <c r="L38" s="9">
        <f t="shared" si="0"/>
        <v>2</v>
      </c>
      <c r="M38" s="9" t="s">
        <v>91</v>
      </c>
    </row>
    <row r="39" spans="1:2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 t="s">
        <v>92</v>
      </c>
      <c r="O39">
        <v>0</v>
      </c>
    </row>
    <row r="40" spans="1:23">
      <c r="A40" s="13" t="s">
        <v>121</v>
      </c>
      <c r="B40" s="13">
        <v>3</v>
      </c>
      <c r="C40" s="13">
        <v>3</v>
      </c>
      <c r="D40" s="13">
        <v>2</v>
      </c>
      <c r="E40" s="13">
        <v>3</v>
      </c>
      <c r="F40" s="13">
        <v>3</v>
      </c>
      <c r="G40" s="13">
        <v>2</v>
      </c>
      <c r="H40" s="13"/>
      <c r="I40" s="13">
        <f t="shared" si="4"/>
        <v>6</v>
      </c>
      <c r="J40" s="13">
        <f t="shared" si="4"/>
        <v>5</v>
      </c>
      <c r="K40" s="13">
        <f t="shared" si="5"/>
        <v>2</v>
      </c>
      <c r="L40" s="13">
        <f t="shared" si="0"/>
        <v>3</v>
      </c>
      <c r="M40" s="13" t="s">
        <v>95</v>
      </c>
    </row>
    <row r="41" spans="1:2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96</v>
      </c>
    </row>
    <row r="42" spans="1:23">
      <c r="A42" s="9">
        <v>24</v>
      </c>
      <c r="B42" s="9">
        <v>1</v>
      </c>
      <c r="C42" s="9">
        <v>4</v>
      </c>
      <c r="D42" s="9">
        <v>1</v>
      </c>
      <c r="E42" s="9"/>
      <c r="F42" s="9">
        <v>3</v>
      </c>
      <c r="G42" s="9">
        <v>2</v>
      </c>
      <c r="H42" s="9"/>
      <c r="I42" s="9">
        <f t="shared" si="4"/>
        <v>4</v>
      </c>
      <c r="J42" s="9">
        <f t="shared" si="4"/>
        <v>6</v>
      </c>
      <c r="K42" s="9">
        <f t="shared" si="5"/>
        <v>1</v>
      </c>
      <c r="L42" s="9">
        <f t="shared" si="0"/>
        <v>0</v>
      </c>
      <c r="M42" s="10" t="s">
        <v>101</v>
      </c>
      <c r="O42">
        <v>0</v>
      </c>
      <c r="Q42" t="s">
        <v>97</v>
      </c>
      <c r="R42" t="s">
        <v>98</v>
      </c>
      <c r="S42" t="s">
        <v>99</v>
      </c>
      <c r="T42" t="s">
        <v>100</v>
      </c>
    </row>
    <row r="43" spans="1:23">
      <c r="A43" s="14">
        <v>25</v>
      </c>
      <c r="B43" s="14">
        <v>2</v>
      </c>
      <c r="C43" s="14">
        <v>4</v>
      </c>
      <c r="D43" s="14">
        <v>3</v>
      </c>
      <c r="E43" s="14"/>
      <c r="F43" s="14">
        <v>3</v>
      </c>
      <c r="G43" s="14">
        <v>2</v>
      </c>
      <c r="H43" s="14"/>
      <c r="I43" s="14">
        <f t="shared" si="4"/>
        <v>5</v>
      </c>
      <c r="J43" s="14">
        <f t="shared" si="4"/>
        <v>6</v>
      </c>
      <c r="K43" s="14">
        <f t="shared" si="5"/>
        <v>3</v>
      </c>
      <c r="L43" s="14">
        <f t="shared" si="0"/>
        <v>0</v>
      </c>
      <c r="M43" s="14"/>
      <c r="N43" s="17" t="s">
        <v>146</v>
      </c>
      <c r="Q43" s="6" t="s">
        <v>102</v>
      </c>
      <c r="R43" t="s">
        <v>103</v>
      </c>
    </row>
    <row r="44" spans="1:23">
      <c r="A44" s="14" t="s">
        <v>120</v>
      </c>
      <c r="B44" s="14">
        <v>2</v>
      </c>
      <c r="C44" s="14">
        <v>4</v>
      </c>
      <c r="D44" s="14">
        <v>2</v>
      </c>
      <c r="E44" s="14">
        <v>2</v>
      </c>
      <c r="F44" s="14">
        <v>3</v>
      </c>
      <c r="G44" s="14">
        <v>2</v>
      </c>
      <c r="H44" s="14"/>
      <c r="I44" s="14">
        <f t="shared" si="4"/>
        <v>5</v>
      </c>
      <c r="J44" s="14">
        <f t="shared" si="4"/>
        <v>6</v>
      </c>
      <c r="K44" s="14">
        <f t="shared" si="5"/>
        <v>2</v>
      </c>
      <c r="L44" s="14">
        <f t="shared" si="0"/>
        <v>2</v>
      </c>
      <c r="M44" s="10"/>
      <c r="N44" s="17" t="s">
        <v>146</v>
      </c>
      <c r="Q44" s="5" t="s">
        <v>106</v>
      </c>
      <c r="R44" t="s">
        <v>107</v>
      </c>
      <c r="T44" t="s">
        <v>52</v>
      </c>
    </row>
    <row r="45" spans="1:23">
      <c r="A45" s="9">
        <v>27</v>
      </c>
      <c r="B45" s="9">
        <v>4</v>
      </c>
      <c r="C45" s="9">
        <v>4</v>
      </c>
      <c r="D45" s="9">
        <v>4</v>
      </c>
      <c r="E45" s="9">
        <v>1</v>
      </c>
      <c r="F45" s="9">
        <v>3</v>
      </c>
      <c r="G45" s="9">
        <v>2</v>
      </c>
      <c r="H45" s="9"/>
      <c r="I45" s="9">
        <f t="shared" si="4"/>
        <v>7</v>
      </c>
      <c r="J45" s="9">
        <f t="shared" si="4"/>
        <v>6</v>
      </c>
      <c r="K45" s="9">
        <f t="shared" si="5"/>
        <v>4</v>
      </c>
      <c r="L45" s="9">
        <f t="shared" si="0"/>
        <v>1</v>
      </c>
      <c r="M45" s="9" t="s">
        <v>110</v>
      </c>
      <c r="O45">
        <v>0</v>
      </c>
      <c r="Q45" t="s">
        <v>108</v>
      </c>
      <c r="S45" t="s">
        <v>86</v>
      </c>
      <c r="U45" t="s">
        <v>109</v>
      </c>
      <c r="W45" t="s">
        <v>86</v>
      </c>
    </row>
    <row r="46" spans="1:23">
      <c r="A46" s="10"/>
      <c r="B46" s="10"/>
      <c r="C46" s="10"/>
      <c r="D46" s="10"/>
      <c r="E46" s="10"/>
      <c r="F46" s="10"/>
      <c r="G46" s="10"/>
      <c r="H46" s="10"/>
      <c r="I46" s="10">
        <f t="shared" si="4"/>
        <v>0</v>
      </c>
      <c r="J46" s="10">
        <f t="shared" si="4"/>
        <v>0</v>
      </c>
      <c r="K46" s="10">
        <f t="shared" si="5"/>
        <v>0</v>
      </c>
      <c r="L46" s="10">
        <f t="shared" si="0"/>
        <v>0</v>
      </c>
      <c r="M46" s="10" t="s">
        <v>111</v>
      </c>
      <c r="O46">
        <v>0</v>
      </c>
    </row>
    <row r="47" spans="1:23">
      <c r="A47" s="9" t="s">
        <v>119</v>
      </c>
      <c r="B47" s="9">
        <v>4</v>
      </c>
      <c r="C47" s="9">
        <v>4</v>
      </c>
      <c r="D47" s="9">
        <v>3</v>
      </c>
      <c r="E47" s="9">
        <v>2</v>
      </c>
      <c r="F47" s="9">
        <v>3</v>
      </c>
      <c r="G47" s="9">
        <v>2</v>
      </c>
      <c r="H47" s="9"/>
      <c r="I47" s="9">
        <f t="shared" si="4"/>
        <v>7</v>
      </c>
      <c r="J47" s="9">
        <f t="shared" si="4"/>
        <v>6</v>
      </c>
      <c r="K47" s="9">
        <f t="shared" si="5"/>
        <v>3</v>
      </c>
      <c r="L47" s="9">
        <f t="shared" si="5"/>
        <v>2</v>
      </c>
      <c r="M47" s="9" t="s">
        <v>116</v>
      </c>
      <c r="O47">
        <v>0</v>
      </c>
    </row>
    <row r="48" spans="1:2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 t="s">
        <v>139</v>
      </c>
    </row>
    <row r="49" spans="1:1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 t="s">
        <v>140</v>
      </c>
    </row>
    <row r="50" spans="1:1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 t="s">
        <v>141</v>
      </c>
    </row>
    <row r="51" spans="1:1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 t="s">
        <v>142</v>
      </c>
    </row>
    <row r="52" spans="1:18">
      <c r="A52" s="13">
        <v>29</v>
      </c>
      <c r="B52" s="13">
        <v>3</v>
      </c>
      <c r="C52" s="13">
        <v>4</v>
      </c>
      <c r="D52" s="13">
        <v>3</v>
      </c>
      <c r="E52" s="13">
        <v>2</v>
      </c>
      <c r="F52" s="13">
        <v>3</v>
      </c>
      <c r="G52" s="13">
        <v>2</v>
      </c>
      <c r="H52" s="13"/>
      <c r="I52" s="13">
        <f t="shared" si="4"/>
        <v>6</v>
      </c>
      <c r="J52" s="13">
        <f t="shared" si="4"/>
        <v>6</v>
      </c>
      <c r="K52" s="13">
        <f t="shared" si="5"/>
        <v>3</v>
      </c>
      <c r="L52" s="13">
        <f t="shared" si="5"/>
        <v>2</v>
      </c>
      <c r="M52" s="13" t="s">
        <v>143</v>
      </c>
      <c r="O52">
        <v>0</v>
      </c>
      <c r="R52" t="s">
        <v>145</v>
      </c>
    </row>
    <row r="53" spans="1:1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144</v>
      </c>
      <c r="O53">
        <v>0</v>
      </c>
      <c r="R53" t="s">
        <v>145</v>
      </c>
    </row>
    <row r="54" spans="1:18">
      <c r="A54" s="10">
        <v>30</v>
      </c>
      <c r="B54" s="10">
        <v>3</v>
      </c>
      <c r="C54" s="10">
        <v>3</v>
      </c>
      <c r="D54" s="10">
        <v>4</v>
      </c>
      <c r="E54" s="10"/>
      <c r="F54" s="10">
        <v>3</v>
      </c>
      <c r="G54" s="10">
        <v>2</v>
      </c>
      <c r="H54" s="10"/>
      <c r="I54" s="10">
        <f t="shared" si="4"/>
        <v>6</v>
      </c>
      <c r="J54" s="10">
        <f t="shared" si="4"/>
        <v>5</v>
      </c>
      <c r="K54" s="10">
        <f t="shared" si="5"/>
        <v>4</v>
      </c>
      <c r="L54" s="10">
        <f t="shared" si="5"/>
        <v>0</v>
      </c>
      <c r="M54" s="10" t="s">
        <v>118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anno</vt:lpstr>
      <vt:lpstr>quant</vt:lpstr>
      <vt:lpstr>データベース優先</vt:lpstr>
      <vt:lpstr>Supple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HIMORI Koichi</dc:creator>
  <cp:lastModifiedBy>HIMORI Koichi</cp:lastModifiedBy>
  <cp:lastPrinted>2025-12-24T23:55:56Z</cp:lastPrinted>
  <dcterms:created xsi:type="dcterms:W3CDTF">2025-12-23T22:33:27Z</dcterms:created>
  <dcterms:modified xsi:type="dcterms:W3CDTF">2025-12-25T00:22:48Z</dcterms:modified>
</cp:coreProperties>
</file>